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charts/chart1.xml" ContentType="application/vnd.openxmlformats-officedocument.drawingml.chart+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grace\OneDrive\Desktop\L &amp; D DOCs\"/>
    </mc:Choice>
  </mc:AlternateContent>
  <xr:revisionPtr revIDLastSave="0" documentId="13_ncr:1_{546D7DB2-D798-4A48-8E9F-F6AB6EBA65EB}"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Supervisors Insights" sheetId="8" r:id="rId2"/>
    <sheet name="Qualitative Themes" sheetId="5" r:id="rId3"/>
    <sheet name="Raw Data" sheetId="2" r:id="rId4"/>
    <sheet name="Module Analysis" sheetId="3" r:id="rId5"/>
    <sheet name="Individual Analysis" sheetId="4" r:id="rId6"/>
    <sheet name="Resource Analysis" sheetId="6" state="hidden" r:id="rId7"/>
    <sheet name="How to Use" sheetId="7" state="hidden" r:id="rId8"/>
  </sheets>
  <definedNames>
    <definedName name="_xlnm._FilterDatabase" localSheetId="5" hidden="1">'Individual Analysis'!$A$1:$Q$30</definedName>
    <definedName name="_xlnm._FilterDatabase" localSheetId="4" hidden="1">'Module Analysis'!$A$1:$I$12</definedName>
    <definedName name="_xlnm._FilterDatabase" localSheetId="2" hidden="1">'Qualitative Themes'!$A$1:$E$9</definedName>
    <definedName name="_xlnm._FilterDatabase" localSheetId="3" hidden="1">'Raw Data'!$A$1:$Y$30</definedName>
    <definedName name="_xlnm._FilterDatabase" localSheetId="6" hidden="1">'Resource Analysis'!$A$1:$C$8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6" l="1"/>
  <c r="C8" i="6" s="1"/>
  <c r="B7" i="6"/>
  <c r="C7" i="6" s="1"/>
  <c r="B6" i="6"/>
  <c r="C6" i="6" s="1"/>
  <c r="B5" i="6"/>
  <c r="C5" i="6" s="1"/>
  <c r="B4" i="6"/>
  <c r="C4" i="6" s="1"/>
  <c r="B3" i="6"/>
  <c r="C3" i="6" s="1"/>
  <c r="B2" i="6"/>
  <c r="C2" i="6" s="1"/>
  <c r="M30" i="4"/>
  <c r="L30" i="4"/>
  <c r="K30" i="4"/>
  <c r="J30" i="4"/>
  <c r="I30" i="4"/>
  <c r="H30" i="4"/>
  <c r="G30" i="4"/>
  <c r="F30" i="4"/>
  <c r="E30" i="4"/>
  <c r="D30" i="4"/>
  <c r="C30" i="4"/>
  <c r="B30" i="4"/>
  <c r="A30" i="4"/>
  <c r="M29" i="4"/>
  <c r="L29" i="4"/>
  <c r="K29" i="4"/>
  <c r="J29" i="4"/>
  <c r="I29" i="4"/>
  <c r="H29" i="4"/>
  <c r="G29" i="4"/>
  <c r="F29" i="4"/>
  <c r="E29" i="4"/>
  <c r="N29" i="4" s="1"/>
  <c r="D29" i="4"/>
  <c r="C29" i="4"/>
  <c r="O29" i="4" s="1"/>
  <c r="P29" i="4" s="1"/>
  <c r="Q29" i="4" s="1"/>
  <c r="B29" i="4"/>
  <c r="A29" i="4"/>
  <c r="M28" i="4"/>
  <c r="L28" i="4"/>
  <c r="K28" i="4"/>
  <c r="J28" i="4"/>
  <c r="I28" i="4"/>
  <c r="H28" i="4"/>
  <c r="G28" i="4"/>
  <c r="F28" i="4"/>
  <c r="E28" i="4"/>
  <c r="D28" i="4"/>
  <c r="C28" i="4"/>
  <c r="O28" i="4" s="1"/>
  <c r="P28" i="4" s="1"/>
  <c r="Q28" i="4" s="1"/>
  <c r="B28" i="4"/>
  <c r="A28" i="4"/>
  <c r="M27" i="4"/>
  <c r="L27" i="4"/>
  <c r="K27" i="4"/>
  <c r="J27" i="4"/>
  <c r="I27" i="4"/>
  <c r="H27" i="4"/>
  <c r="G27" i="4"/>
  <c r="F27" i="4"/>
  <c r="E27" i="4"/>
  <c r="D27" i="4"/>
  <c r="C27" i="4"/>
  <c r="B27" i="4"/>
  <c r="A27" i="4"/>
  <c r="M26" i="4"/>
  <c r="L26" i="4"/>
  <c r="K26" i="4"/>
  <c r="J26" i="4"/>
  <c r="I26" i="4"/>
  <c r="H26" i="4"/>
  <c r="G26" i="4"/>
  <c r="F26" i="4"/>
  <c r="E26" i="4"/>
  <c r="D26" i="4"/>
  <c r="C26" i="4"/>
  <c r="N26" i="4" s="1"/>
  <c r="B26" i="4"/>
  <c r="A26" i="4"/>
  <c r="M25" i="4"/>
  <c r="L25" i="4"/>
  <c r="K25" i="4"/>
  <c r="J25" i="4"/>
  <c r="I25" i="4"/>
  <c r="H25" i="4"/>
  <c r="G25" i="4"/>
  <c r="F25" i="4"/>
  <c r="E25" i="4"/>
  <c r="D25" i="4"/>
  <c r="C25" i="4"/>
  <c r="B25" i="4"/>
  <c r="A25" i="4"/>
  <c r="M24" i="4"/>
  <c r="L24" i="4"/>
  <c r="K24" i="4"/>
  <c r="J24" i="4"/>
  <c r="I24" i="4"/>
  <c r="H24" i="4"/>
  <c r="G24" i="4"/>
  <c r="F24" i="4"/>
  <c r="E24" i="4"/>
  <c r="D24" i="4"/>
  <c r="C24" i="4"/>
  <c r="B24" i="4"/>
  <c r="A24" i="4"/>
  <c r="M23" i="4"/>
  <c r="L23" i="4"/>
  <c r="K23" i="4"/>
  <c r="J23" i="4"/>
  <c r="I23" i="4"/>
  <c r="H23" i="4"/>
  <c r="G23" i="4"/>
  <c r="F23" i="4"/>
  <c r="E23" i="4"/>
  <c r="D23" i="4"/>
  <c r="C23" i="4"/>
  <c r="B23" i="4"/>
  <c r="A23" i="4"/>
  <c r="M22" i="4"/>
  <c r="L22" i="4"/>
  <c r="K22" i="4"/>
  <c r="J22" i="4"/>
  <c r="I22" i="4"/>
  <c r="H22" i="4"/>
  <c r="G22" i="4"/>
  <c r="F22" i="4"/>
  <c r="E22" i="4"/>
  <c r="D22" i="4"/>
  <c r="C22" i="4"/>
  <c r="B22" i="4"/>
  <c r="A22" i="4"/>
  <c r="M21" i="4"/>
  <c r="L21" i="4"/>
  <c r="K21" i="4"/>
  <c r="J21" i="4"/>
  <c r="O21" i="4" s="1"/>
  <c r="P21" i="4" s="1"/>
  <c r="Q21" i="4" s="1"/>
  <c r="I21" i="4"/>
  <c r="H21" i="4"/>
  <c r="G21" i="4"/>
  <c r="F21" i="4"/>
  <c r="E21" i="4"/>
  <c r="D21" i="4"/>
  <c r="C21" i="4"/>
  <c r="B21" i="4"/>
  <c r="A21" i="4"/>
  <c r="M20" i="4"/>
  <c r="L20" i="4"/>
  <c r="K20" i="4"/>
  <c r="J20" i="4"/>
  <c r="I20" i="4"/>
  <c r="H20" i="4"/>
  <c r="G20" i="4"/>
  <c r="F20" i="4"/>
  <c r="E20" i="4"/>
  <c r="D20" i="4"/>
  <c r="C20" i="4"/>
  <c r="B20" i="4"/>
  <c r="A20" i="4"/>
  <c r="M19" i="4"/>
  <c r="L19" i="4"/>
  <c r="K19" i="4"/>
  <c r="J19" i="4"/>
  <c r="I19" i="4"/>
  <c r="H19" i="4"/>
  <c r="G19" i="4"/>
  <c r="F19" i="4"/>
  <c r="E19" i="4"/>
  <c r="D19" i="4"/>
  <c r="C19" i="4"/>
  <c r="B19" i="4"/>
  <c r="A19" i="4"/>
  <c r="M18" i="4"/>
  <c r="L18" i="4"/>
  <c r="K18" i="4"/>
  <c r="J18" i="4"/>
  <c r="I18" i="4"/>
  <c r="H18" i="4"/>
  <c r="G18" i="4"/>
  <c r="F18" i="4"/>
  <c r="E18" i="4"/>
  <c r="D18" i="4"/>
  <c r="C18" i="4"/>
  <c r="B18" i="4"/>
  <c r="A18" i="4"/>
  <c r="M17" i="4"/>
  <c r="L17" i="4"/>
  <c r="K17" i="4"/>
  <c r="J17" i="4"/>
  <c r="I17" i="4"/>
  <c r="H17" i="4"/>
  <c r="G17" i="4"/>
  <c r="O17" i="4" s="1"/>
  <c r="P17" i="4" s="1"/>
  <c r="Q17" i="4" s="1"/>
  <c r="F17" i="4"/>
  <c r="E17" i="4"/>
  <c r="D17" i="4"/>
  <c r="C17" i="4"/>
  <c r="N17" i="4" s="1"/>
  <c r="B17" i="4"/>
  <c r="A17" i="4"/>
  <c r="M16" i="4"/>
  <c r="L16" i="4"/>
  <c r="K16" i="4"/>
  <c r="J16" i="4"/>
  <c r="I16" i="4"/>
  <c r="H16" i="4"/>
  <c r="G16" i="4"/>
  <c r="F16" i="4"/>
  <c r="E16" i="4"/>
  <c r="D16" i="4"/>
  <c r="C16" i="4"/>
  <c r="B16" i="4"/>
  <c r="A16" i="4"/>
  <c r="M15" i="4"/>
  <c r="L15" i="4"/>
  <c r="K15" i="4"/>
  <c r="J15" i="4"/>
  <c r="I15" i="4"/>
  <c r="H15" i="4"/>
  <c r="G15" i="4"/>
  <c r="F15" i="4"/>
  <c r="E15" i="4"/>
  <c r="D15" i="4"/>
  <c r="C15" i="4"/>
  <c r="B15" i="4"/>
  <c r="A15" i="4"/>
  <c r="M14" i="4"/>
  <c r="L14" i="4"/>
  <c r="K14" i="4"/>
  <c r="J14" i="4"/>
  <c r="I14" i="4"/>
  <c r="H14" i="4"/>
  <c r="G14" i="4"/>
  <c r="F14" i="4"/>
  <c r="E14" i="4"/>
  <c r="D14" i="4"/>
  <c r="C14" i="4"/>
  <c r="O14" i="4" s="1"/>
  <c r="P14" i="4" s="1"/>
  <c r="Q14" i="4" s="1"/>
  <c r="B14" i="4"/>
  <c r="A14" i="4"/>
  <c r="M13" i="4"/>
  <c r="L13" i="4"/>
  <c r="K13" i="4"/>
  <c r="J13" i="4"/>
  <c r="I13" i="4"/>
  <c r="H13" i="4"/>
  <c r="G13" i="4"/>
  <c r="F13" i="4"/>
  <c r="E13" i="4"/>
  <c r="D13" i="4"/>
  <c r="C13" i="4"/>
  <c r="B13" i="4"/>
  <c r="A13" i="4"/>
  <c r="M12" i="4"/>
  <c r="L12" i="4"/>
  <c r="K12" i="4"/>
  <c r="J12" i="4"/>
  <c r="I12" i="4"/>
  <c r="H12" i="4"/>
  <c r="G12" i="4"/>
  <c r="F12" i="4"/>
  <c r="E12" i="4"/>
  <c r="D12" i="4"/>
  <c r="C12" i="4"/>
  <c r="B12" i="4"/>
  <c r="A12" i="4"/>
  <c r="M11" i="4"/>
  <c r="L11" i="4"/>
  <c r="K11" i="4"/>
  <c r="J11" i="4"/>
  <c r="I11" i="4"/>
  <c r="H11" i="4"/>
  <c r="G11" i="4"/>
  <c r="F11" i="4"/>
  <c r="E11" i="4"/>
  <c r="D11" i="4"/>
  <c r="C11" i="4"/>
  <c r="B11" i="4"/>
  <c r="A11" i="4"/>
  <c r="M10" i="4"/>
  <c r="L10" i="4"/>
  <c r="K10" i="4"/>
  <c r="J10" i="4"/>
  <c r="I10" i="4"/>
  <c r="H10" i="4"/>
  <c r="G10" i="4"/>
  <c r="F10" i="4"/>
  <c r="E10" i="4"/>
  <c r="D10" i="4"/>
  <c r="C10" i="4"/>
  <c r="B10" i="4"/>
  <c r="A10" i="4"/>
  <c r="M9" i="4"/>
  <c r="L9" i="4"/>
  <c r="K9" i="4"/>
  <c r="J9" i="4"/>
  <c r="I9" i="4"/>
  <c r="H9" i="4"/>
  <c r="G9" i="4"/>
  <c r="F9" i="4"/>
  <c r="E9" i="4"/>
  <c r="D9" i="4"/>
  <c r="C9" i="4"/>
  <c r="B9" i="4"/>
  <c r="A9" i="4"/>
  <c r="M8" i="4"/>
  <c r="L8" i="4"/>
  <c r="K8" i="4"/>
  <c r="J8" i="4"/>
  <c r="I8" i="4"/>
  <c r="H8" i="4"/>
  <c r="G8" i="4"/>
  <c r="F8" i="4"/>
  <c r="O8" i="4" s="1"/>
  <c r="P8" i="4" s="1"/>
  <c r="Q8" i="4" s="1"/>
  <c r="E8" i="4"/>
  <c r="D8" i="4"/>
  <c r="C8" i="4"/>
  <c r="B8" i="4"/>
  <c r="A8" i="4"/>
  <c r="M7" i="4"/>
  <c r="L7" i="4"/>
  <c r="K7" i="4"/>
  <c r="J7" i="4"/>
  <c r="I7" i="4"/>
  <c r="H7" i="4"/>
  <c r="G7" i="4"/>
  <c r="F7" i="4"/>
  <c r="E7" i="4"/>
  <c r="D7" i="4"/>
  <c r="C7" i="4"/>
  <c r="B7" i="4"/>
  <c r="A7" i="4"/>
  <c r="M6" i="4"/>
  <c r="L6" i="4"/>
  <c r="K6" i="4"/>
  <c r="J6" i="4"/>
  <c r="I6" i="4"/>
  <c r="H6" i="4"/>
  <c r="G6" i="4"/>
  <c r="F6" i="4"/>
  <c r="E6" i="4"/>
  <c r="D6" i="4"/>
  <c r="C6" i="4"/>
  <c r="B6" i="4"/>
  <c r="A6" i="4"/>
  <c r="M5" i="4"/>
  <c r="L5" i="4"/>
  <c r="K5" i="4"/>
  <c r="J5" i="4"/>
  <c r="I5" i="4"/>
  <c r="H5" i="4"/>
  <c r="G5" i="4"/>
  <c r="F5" i="4"/>
  <c r="E5" i="4"/>
  <c r="D5" i="4"/>
  <c r="C5" i="4"/>
  <c r="B5" i="4"/>
  <c r="A5" i="4"/>
  <c r="M4" i="4"/>
  <c r="L4" i="4"/>
  <c r="K4" i="4"/>
  <c r="J4" i="4"/>
  <c r="I4" i="4"/>
  <c r="H4" i="4"/>
  <c r="G4" i="4"/>
  <c r="F4" i="4"/>
  <c r="E4" i="4"/>
  <c r="D4" i="4"/>
  <c r="C4" i="4"/>
  <c r="B4" i="4"/>
  <c r="A4" i="4"/>
  <c r="M3" i="4"/>
  <c r="L3" i="4"/>
  <c r="K3" i="4"/>
  <c r="J3" i="4"/>
  <c r="I3" i="4"/>
  <c r="H3" i="4"/>
  <c r="G3" i="4"/>
  <c r="F3" i="4"/>
  <c r="E3" i="4"/>
  <c r="D3" i="4"/>
  <c r="C3" i="4"/>
  <c r="B3" i="4"/>
  <c r="A3" i="4"/>
  <c r="M2" i="4"/>
  <c r="L2" i="4"/>
  <c r="K2" i="4"/>
  <c r="J2" i="4"/>
  <c r="I2" i="4"/>
  <c r="H2" i="4"/>
  <c r="G2" i="4"/>
  <c r="F2" i="4"/>
  <c r="E2" i="4"/>
  <c r="D2" i="4"/>
  <c r="C2" i="4"/>
  <c r="B2" i="4"/>
  <c r="A2" i="4"/>
  <c r="F12" i="3"/>
  <c r="E12" i="3"/>
  <c r="D12" i="3"/>
  <c r="H12" i="3" s="1"/>
  <c r="I12" i="3" s="1"/>
  <c r="C12" i="3"/>
  <c r="B12" i="3"/>
  <c r="F11" i="3"/>
  <c r="E11" i="3"/>
  <c r="D11" i="3"/>
  <c r="C11" i="3"/>
  <c r="B11" i="3"/>
  <c r="F10" i="3"/>
  <c r="E10" i="3"/>
  <c r="D10" i="3"/>
  <c r="C10" i="3"/>
  <c r="B10" i="3"/>
  <c r="F9" i="3"/>
  <c r="E9" i="3"/>
  <c r="D9" i="3"/>
  <c r="H9" i="3" s="1"/>
  <c r="I9" i="3" s="1"/>
  <c r="C9" i="3"/>
  <c r="B9" i="3"/>
  <c r="F8" i="3"/>
  <c r="E8" i="3"/>
  <c r="D8" i="3"/>
  <c r="C8" i="3"/>
  <c r="B8" i="3"/>
  <c r="F7" i="3"/>
  <c r="E7" i="3"/>
  <c r="D7" i="3"/>
  <c r="C7" i="3"/>
  <c r="B7" i="3"/>
  <c r="F6" i="3"/>
  <c r="E6" i="3"/>
  <c r="D6" i="3"/>
  <c r="C6" i="3"/>
  <c r="B6" i="3"/>
  <c r="F5" i="3"/>
  <c r="E5" i="3"/>
  <c r="D5" i="3"/>
  <c r="C5" i="3"/>
  <c r="B5" i="3"/>
  <c r="F4" i="3"/>
  <c r="E4" i="3"/>
  <c r="D4" i="3"/>
  <c r="C4" i="3"/>
  <c r="B4" i="3"/>
  <c r="F3" i="3"/>
  <c r="E3" i="3"/>
  <c r="D3" i="3"/>
  <c r="C3" i="3"/>
  <c r="B3" i="3"/>
  <c r="F2" i="3"/>
  <c r="E2" i="3"/>
  <c r="D2" i="3"/>
  <c r="C2" i="3"/>
  <c r="B2" i="3"/>
  <c r="O25" i="4" l="1"/>
  <c r="P25" i="4" s="1"/>
  <c r="Q25" i="4" s="1"/>
  <c r="O23" i="4"/>
  <c r="P23" i="4" s="1"/>
  <c r="Q23" i="4" s="1"/>
  <c r="O9" i="4"/>
  <c r="P9" i="4" s="1"/>
  <c r="Q9" i="4" s="1"/>
  <c r="O12" i="4"/>
  <c r="P12" i="4" s="1"/>
  <c r="Q12" i="4" s="1"/>
  <c r="H2" i="3"/>
  <c r="I2" i="3" s="1"/>
  <c r="O3" i="4"/>
  <c r="P3" i="4" s="1"/>
  <c r="Q3" i="4" s="1"/>
  <c r="O7" i="4"/>
  <c r="P7" i="4" s="1"/>
  <c r="Q7" i="4" s="1"/>
  <c r="O30" i="4"/>
  <c r="P30" i="4" s="1"/>
  <c r="Q30" i="4" s="1"/>
  <c r="G10" i="3"/>
  <c r="H7" i="3"/>
  <c r="I7" i="3" s="1"/>
  <c r="O27" i="4"/>
  <c r="P27" i="4" s="1"/>
  <c r="Q27" i="4" s="1"/>
  <c r="O20" i="4"/>
  <c r="P20" i="4" s="1"/>
  <c r="Q20" i="4" s="1"/>
  <c r="O24" i="4"/>
  <c r="P24" i="4" s="1"/>
  <c r="Q24" i="4" s="1"/>
  <c r="N19" i="4"/>
  <c r="N22" i="4"/>
  <c r="H10" i="3"/>
  <c r="I10" i="3" s="1"/>
  <c r="N18" i="4"/>
  <c r="N21" i="4"/>
  <c r="O19" i="4"/>
  <c r="P19" i="4" s="1"/>
  <c r="Q19" i="4" s="1"/>
  <c r="N20" i="4"/>
  <c r="O26" i="4"/>
  <c r="P26" i="4" s="1"/>
  <c r="Q26" i="4" s="1"/>
  <c r="O15" i="4"/>
  <c r="P15" i="4" s="1"/>
  <c r="Q15" i="4" s="1"/>
  <c r="O16" i="4"/>
  <c r="P16" i="4" s="1"/>
  <c r="Q16" i="4" s="1"/>
  <c r="N15" i="4"/>
  <c r="H11" i="3"/>
  <c r="I11" i="3" s="1"/>
  <c r="N13" i="4"/>
  <c r="H3" i="3"/>
  <c r="I3" i="3" s="1"/>
  <c r="O10" i="4"/>
  <c r="P10" i="4" s="1"/>
  <c r="Q10" i="4" s="1"/>
  <c r="N10" i="4"/>
  <c r="N12" i="4"/>
  <c r="O11" i="4"/>
  <c r="P11" i="4" s="1"/>
  <c r="Q11" i="4" s="1"/>
  <c r="G3" i="3"/>
  <c r="G7" i="3"/>
  <c r="N7" i="4"/>
  <c r="G2" i="3"/>
  <c r="H6" i="3"/>
  <c r="I6" i="3" s="1"/>
  <c r="G12" i="3"/>
  <c r="G4" i="3"/>
  <c r="G9" i="3"/>
  <c r="O6" i="4"/>
  <c r="P6" i="4" s="1"/>
  <c r="Q6" i="4" s="1"/>
  <c r="N5" i="4"/>
  <c r="H5" i="3"/>
  <c r="I5" i="3" s="1"/>
  <c r="N3" i="4"/>
  <c r="N4" i="4"/>
  <c r="G5" i="3"/>
  <c r="G8" i="3"/>
  <c r="H8" i="3"/>
  <c r="I8" i="3" s="1"/>
  <c r="O2" i="4"/>
  <c r="P2" i="4" s="1"/>
  <c r="Q2" i="4" s="1"/>
  <c r="O5" i="4"/>
  <c r="P5" i="4" s="1"/>
  <c r="Q5" i="4" s="1"/>
  <c r="G6" i="3"/>
  <c r="O22" i="4"/>
  <c r="P22" i="4" s="1"/>
  <c r="Q22" i="4" s="1"/>
  <c r="N27" i="4"/>
  <c r="O4" i="4"/>
  <c r="P4" i="4" s="1"/>
  <c r="Q4" i="4" s="1"/>
  <c r="N9" i="4"/>
  <c r="O18" i="4"/>
  <c r="P18" i="4" s="1"/>
  <c r="Q18" i="4" s="1"/>
  <c r="N23" i="4"/>
  <c r="G11" i="3"/>
  <c r="N8" i="4"/>
  <c r="H4" i="3"/>
  <c r="I4" i="3" s="1"/>
  <c r="O13" i="4"/>
  <c r="P13" i="4" s="1"/>
  <c r="Q13" i="4" s="1"/>
  <c r="N14" i="4"/>
  <c r="N28" i="4"/>
  <c r="N24" i="4"/>
  <c r="N6" i="4"/>
  <c r="N11" i="4"/>
  <c r="N25" i="4"/>
  <c r="N2" i="4"/>
  <c r="N16" i="4"/>
  <c r="N30" i="4"/>
</calcChain>
</file>

<file path=xl/sharedStrings.xml><?xml version="1.0" encoding="utf-8"?>
<sst xmlns="http://schemas.openxmlformats.org/spreadsheetml/2006/main" count="854" uniqueCount="368">
  <si>
    <t>Based on your observation of the team, what are the top three knowledge gaps that you believe should be addressed first?</t>
  </si>
  <si>
    <t>Priority</t>
  </si>
  <si>
    <t>Knowledge Gap</t>
  </si>
  <si>
    <t>Why It Matters</t>
  </si>
  <si>
    <t>Recommended Intervention</t>
  </si>
  <si>
    <t>Sea/Air Manifest</t>
  </si>
  <si>
    <t>New features on the NSW Helpdesk account</t>
  </si>
  <si>
    <t>New features are often added to the NSW helpdesk account with the agents not knowing what they do or when to use it.</t>
  </si>
  <si>
    <t>Periodically train agents on the NSW Helpdesk account for new functions or send user guide explaining what this functions do and when to use them.</t>
  </si>
  <si>
    <t>NSW Helpdesk Training Needs Analysis</t>
  </si>
  <si>
    <t>Assessment population</t>
  </si>
  <si>
    <t>29</t>
  </si>
  <si>
    <t>Main finding</t>
  </si>
  <si>
    <t>Strong confidence in core modules, but clear development needs in Air/Sea Manifest, Certificate Utilization, and complex cross-system issues.</t>
  </si>
  <si>
    <t>Key operational dependency</t>
  </si>
  <si>
    <t>25 of 29 reps (86%) report relying on colleagues/supervisors for guidance.</t>
  </si>
  <si>
    <t>Confidence caveat</t>
  </si>
  <si>
    <t>This is a self-assessment, not a proficiency test; validate priority gaps with QA, AHT/FCR/CSAT and ticket data.</t>
  </si>
  <si>
    <t>Top Findings</t>
  </si>
  <si>
    <t>1</t>
  </si>
  <si>
    <t>Air Manifest</t>
  </si>
  <si>
    <t xml:space="preserve">96.6% show a confidence gap                    </t>
  </si>
  <si>
    <t>14 need more knowledge</t>
  </si>
  <si>
    <t>3 not confident.</t>
  </si>
  <si>
    <t>2</t>
  </si>
  <si>
    <t>Sea Manifest</t>
  </si>
  <si>
    <t>96.6% show a confidence gap</t>
  </si>
  <si>
    <t>15 need more knowledge</t>
  </si>
  <si>
    <t>3</t>
  </si>
  <si>
    <t>Certificate Utilization</t>
  </si>
  <si>
    <t>24.1% show a confidence gap; it is also the dominant long-resolution/escalation theme.</t>
  </si>
  <si>
    <t>4</t>
  </si>
  <si>
    <t>Form M / PAAR</t>
  </si>
  <si>
    <t>13.8% show a confidence gap; frequently mentioned alongside complex submission and approval issues.</t>
  </si>
  <si>
    <t>5</t>
  </si>
  <si>
    <t>Knowledge dependency</t>
  </si>
  <si>
    <t>86.2% rely on colleagues/supervisors; this indicates a knowledge-base/process enablement opportunity.</t>
  </si>
  <si>
    <t>Recommended Training Priorities</t>
  </si>
  <si>
    <t>Rank</t>
  </si>
  <si>
    <t>Training Need</t>
  </si>
  <si>
    <t>Recommendation</t>
  </si>
  <si>
    <t>Air &amp; Sea Manifest</t>
  </si>
  <si>
    <t>Critical</t>
  </si>
  <si>
    <t>Build foundational knowledge + hands-on case practice.</t>
  </si>
  <si>
    <t>Certificate Utilization &amp; Validation</t>
  </si>
  <si>
    <t>Troubleshooting, quantity/unit mismatches, already-utilized/linked certificates, escalation rules.</t>
  </si>
  <si>
    <t>B'Odogwu–NSW Integration &amp; Validation Errors</t>
  </si>
  <si>
    <t>High</t>
  </si>
  <si>
    <t>HS Code, certificate count, TIN/Tax ID, generic errors, source-of-error diagnosis.</t>
  </si>
  <si>
    <t>Excel Consignment Template</t>
  </si>
  <si>
    <t>Field-by-field guide, mandatory fields, date formatting, upload troubleshooting.</t>
  </si>
  <si>
    <t>Form M / PAAR &amp; Approval Issues</t>
  </si>
  <si>
    <t>End-to-end process, common errors, amendment/resubmission, escalation pathways.</t>
  </si>
  <si>
    <t>Payment &amp; Status Reconciliation</t>
  </si>
  <si>
    <t>Medium</t>
  </si>
  <si>
    <t>Pending payment, receipt verification, gateway/NSW mismatch and escalation.</t>
  </si>
  <si>
    <t>Knowledge Base Usage</t>
  </si>
  <si>
    <t>Create searchable troubleshooting articles and quick-reference guides.</t>
  </si>
  <si>
    <t>Theme</t>
  </si>
  <si>
    <t>Evidence in Responses</t>
  </si>
  <si>
    <t>What It Means</t>
  </si>
  <si>
    <t>Recommended Action</t>
  </si>
  <si>
    <t>Training / Non-Training</t>
  </si>
  <si>
    <t>Repeatedly identified as longest to resolve, difficult, escalated, or needing more knowledge.</t>
  </si>
  <si>
    <t>High operational complexity and dependency on other teams.</t>
  </si>
  <si>
    <t>Create troubleshooting decision tree; train on validation, quantity/unit/certificate matching and escalation.</t>
  </si>
  <si>
    <t>Training + process</t>
  </si>
  <si>
    <t>B'Odogwu–NSW validation/integration</t>
  </si>
  <si>
    <t>HS Code mismatches, certificate count errors, TIN/Tax ID mismatch, generic validation errors, integration issues.</t>
  </si>
  <si>
    <t>Reps need cross-system diagnostic capability.</t>
  </si>
  <si>
    <t>Build cross-system troubleshooting guide and scenario-based training.</t>
  </si>
  <si>
    <t>Training + system/process</t>
  </si>
  <si>
    <t>Excel template / upload</t>
  </si>
  <si>
    <t>Repeated requests for Excel template guidance, upload errors, mandatory fields, date formatting.</t>
  </si>
  <si>
    <t>A recurring source of customer friction and rework.</t>
  </si>
  <si>
    <t>Create field-by-field guide and practical exercise; standardize supported spreadsheet tool.</t>
  </si>
  <si>
    <t>Training + documentation</t>
  </si>
  <si>
    <t>Self-assessment shows 96.6% gap rate for both modules.</t>
  </si>
  <si>
    <t>Largest measured confidence gap.</t>
  </si>
  <si>
    <t>Run foundational module training with guided cases and job aids.</t>
  </si>
  <si>
    <t>Training</t>
  </si>
  <si>
    <t>Form M / PAAR &amp; approvals</t>
  </si>
  <si>
    <t>Frequently mentioned in long-resolution and escalation responses.</t>
  </si>
  <si>
    <t>Process complexity and approval dependencies affect resolution time.</t>
  </si>
  <si>
    <t>Map end-to-end process and escalation points; train reps on what they can/cannot resolve.</t>
  </si>
  <si>
    <t>Payment status</t>
  </si>
  <si>
    <t>Pending payment, payment not reflecting, payment header issues mentioned.</t>
  </si>
  <si>
    <t>Reps need a consistent diagnostic/escalation path.</t>
  </si>
  <si>
    <t>Create payment validation checklist and escalation SLA.</t>
  </si>
  <si>
    <t>Knowledge-base dependency</t>
  </si>
  <si>
    <t>25/29 rely on colleagues/supervisors; many requested KB articles.</t>
  </si>
  <si>
    <t>Knowledge is not sufficiently self-service.</t>
  </si>
  <si>
    <t>Prioritize searchable KB articles, FAQs and decision trees.</t>
  </si>
  <si>
    <t>Knowledge management</t>
  </si>
  <si>
    <t>Inter-team dependency</t>
  </si>
  <si>
    <t>Approval delays and cases requiring CL/MDA/technical teams are repeatedly described.</t>
  </si>
  <si>
    <t>Some resolution-time problems are structural, not knowledge deficits.</t>
  </si>
  <si>
    <t>Define escalation matrix, ownership, expected feedback times and customer communication rules.</t>
  </si>
  <si>
    <t>Non-training</t>
  </si>
  <si>
    <t>Name</t>
  </si>
  <si>
    <t>Last modified time</t>
  </si>
  <si>
    <t>How long have you been supporting NSW users?</t>
  </si>
  <si>
    <t xml:space="preserve">
Which three NSW modules generate the highest number of customer enquiries?
</t>
  </si>
  <si>
    <t>Which issues take the longest to resolve?</t>
  </si>
  <si>
    <t>Which topics do you find most difficult to explain or resolve for users?</t>
  </si>
  <si>
    <t>Are there any processes within the NSW platform that you are not fully confident supporting?</t>
  </si>
  <si>
    <t>If yes, please specify.</t>
  </si>
  <si>
    <t>Which issues do you frequently escalate because you are unsure of the resolution?</t>
  </si>
  <si>
    <t>Are there situations where you rely on another colleague, supervisor for guidance?</t>
  </si>
  <si>
    <t>If yes, what topics?</t>
  </si>
  <si>
    <t>When resolving customer issues, what resources do you currently use?</t>
  </si>
  <si>
    <t>If you could add one article to the Knowledge Base today, what would it be?</t>
  </si>
  <si>
    <t>Describe a recent customer issue that was particularly difficult to resolve. What information would have helped you resolve it more efficiently?</t>
  </si>
  <si>
    <t>User Registration</t>
  </si>
  <si>
    <t>Login &amp; Authentication</t>
  </si>
  <si>
    <t>UCR</t>
  </si>
  <si>
    <t>Facility Registration</t>
  </si>
  <si>
    <t>Application Submission</t>
  </si>
  <si>
    <t>Payment</t>
  </si>
  <si>
    <t>Form M / PAAR Processing</t>
  </si>
  <si>
    <t>LPCO Processing</t>
  </si>
  <si>
    <t>Atuke Onoriode</t>
  </si>
  <si>
    <t>6–12 months</t>
  </si>
  <si>
    <t>Payment;Certificate Utilization;Form M / PAAR;</t>
  </si>
  <si>
    <t>Uploading Excel sheet on a company Laptop of a customer</t>
  </si>
  <si>
    <t>No</t>
  </si>
  <si>
    <t>non</t>
  </si>
  <si>
    <t>Yes</t>
  </si>
  <si>
    <t>Excel sheet upload, Password reset, Payment not reflecting after customer has shown receipt and other issues that need to be resolve at backend</t>
  </si>
  <si>
    <t>Supervisor;</t>
  </si>
  <si>
    <t>Very Confident</t>
  </si>
  <si>
    <t>Neutral</t>
  </si>
  <si>
    <t>Ifechukwu Ozuluonye</t>
  </si>
  <si>
    <t>3–6 months</t>
  </si>
  <si>
    <t>Payment;User Registration;Form M / PAAR;</t>
  </si>
  <si>
    <t>FORM M and PAAR</t>
  </si>
  <si>
    <t>Error 405/504 gotten by clients when making applications</t>
  </si>
  <si>
    <t>Error 405/504 CL related issues</t>
  </si>
  <si>
    <t>Just clarifications of any issue at hand as the case may be, needing more insight</t>
  </si>
  <si>
    <t>Personal Notes;User Guide;Existing Knowledge Base;Supervisor;Escalation - CL;Previous Tickets;Research;</t>
  </si>
  <si>
    <t>How to use reference numbers in search of client's information, in cases where TIN number cannot always be asked of them, to avoid aggravating clients who call in for issues.</t>
  </si>
  <si>
    <t>A client who had issues in completing FORM M initiation on B'odogwu, it took a long while because the PC trying to attach had already expired and was not activated on NSW before it did. I felt really bad for the client as they had passed through thick and thin to get to that stage in the application. I just hoped there was a way to help resolve it, at least for the client to submit that application before moving on to get another PC from his issuer. This is how i could have helped him more efficiently, but the reality was still in our faces, he was advised to get another.</t>
  </si>
  <si>
    <t>Confident</t>
  </si>
  <si>
    <t>Thelma Ozichi</t>
  </si>
  <si>
    <t>Application Submission;LPCO;Certificate Utilization;</t>
  </si>
  <si>
    <t>Certificate Utilization and LPCO</t>
  </si>
  <si>
    <t>Existing Knowledge Base;User Guide;Supervisor;Previous Tickets;</t>
  </si>
  <si>
    <t>LPCO Processing and HS Codes</t>
  </si>
  <si>
    <t>A client reported that the HS Code displayed on the application submission differed from the HS Code listed in the HS Code section of the menu. Upon investigation, the issue was traced to the migration of the client's certificates from the SON portal to the National Single Window. The matter was subsequently escalated for resolution.</t>
  </si>
  <si>
    <t>Need More Knowledge</t>
  </si>
  <si>
    <t>Queen Ugbebor</t>
  </si>
  <si>
    <t>Application Submission;Certificate Utilization;Form M / PAAR;</t>
  </si>
  <si>
    <t>Utilization and MDA Approval issues</t>
  </si>
  <si>
    <t>Excel data entry during consignment document application. Payment issues</t>
  </si>
  <si>
    <t>Utilization issue</t>
  </si>
  <si>
    <t>Excel data entry during consignment document application submission.</t>
  </si>
  <si>
    <t>Personal Notes;Supervisor;Escalation - CL;</t>
  </si>
  <si>
    <t>Clear and comprehensive guide explaining the purpose and expected entries for every field in the Excel template</t>
  </si>
  <si>
    <t>1. Excel Data Entry During Consignment Document Application A recent customer issue that was particularly difficult to resolve involved completing the Excel template for a Consignment Document application. The challenge was that the system flagged certain fields as required even though they were not identified as mandatory in the template or instructions. This made it difficult to accurately guide customers and often resulted in repeated submission errors, causing frustration for the customer. What would have helped resolve this issue more efficiently is a clear and comprehensive guide explaining the purpose and expected entries for every field in the Excel template, including any system validations that are not obvious from the interface. This would reduce errors, improve first-contact resolution, and enhance the overall customer experience. 2. Utilization and Approval Status Issues Another challenging issue involves utilization and approval status cases. These issues often remain unresolved even after being escalated to the Customs department and NAFDAC, leaving me with limited visibility or control over the outcome. In many cases, the only option is to advise customers to contact the responsible department directly, which can delay resolution and lead to customer dissatisfaction. What would have helped is having a direct communication channel or designated point of contact within the relevant departments to facilitate faster collaboration and follow-up on escalated cases. This would enable quicker issue resolution, improve coordination between teams, and allow us to provide more timely and effective support, ensuring customers can complete their documentation with minimal delays.</t>
  </si>
  <si>
    <t>Not Confident</t>
  </si>
  <si>
    <t>Anthony Rufus</t>
  </si>
  <si>
    <t>Certificate Utilization;Login &amp; Authentication;Payment;</t>
  </si>
  <si>
    <t>PAAR Application Submission, Certificate Utilization Issues and Application Submission</t>
  </si>
  <si>
    <t>Application submission and Certificate Utilization Issues</t>
  </si>
  <si>
    <t>Existing Knowledge Base;User Guide;Supervisor;</t>
  </si>
  <si>
    <t>The client was experiencing issues with quantity discrepancies, which made the client frustrated with the application process.</t>
  </si>
  <si>
    <t>Blessing Obinna</t>
  </si>
  <si>
    <t>Form M / PAAR;Certificate Utilization;Payment;</t>
  </si>
  <si>
    <t>certificate utilization and MDA Approval</t>
  </si>
  <si>
    <t>Excel uploading</t>
  </si>
  <si>
    <t>FORM M/PAAR</t>
  </si>
  <si>
    <t>ITEM UPLOADING, HS CODE NOT REFLECTING, PAYMENT NOT RELFECTING AMENDMENT OF SUBMITTED APPLICATION,</t>
  </si>
  <si>
    <t>User Guide;Supervisor;Existing Knowledge Base;</t>
  </si>
  <si>
    <t>Knowledge Base Article: Appropriate Use of the Country of Origin Excel Sheet for Consignment Applications I would add an article titled "Appropriate Use of the Country of Origin Excel Sheet When Submitting Consignment Applications.</t>
  </si>
  <si>
    <t>A recent customer issue that was particularly difficult to resolve involved a client who had successfully activated a product certificate on the NSW portal and uploaded it to the B'Odogwu platform. However, when processing the transaction, the system displayed the error: "The items count is 1, which is greater than the certificate count 0 To resolve the issue, I first apologized for the inconvenience caused and reassured the client that the issue would be investigated. I then reviewed the application documents on the NSW platform, verified the HS Code, item description, and certificate count, and compared them with the information entered on B'Odogwu. During the review, I identified inconsistencies between the declaration details and the information on the approved certificate. I advised the client to use the HS Code and item description exactly as displayed on the NSW platform when making declarations on B'Odogwu to ensure consistency and avoid validation or processing issues. This helped resolve the issue and allowed the declaration to proceed successfully.</t>
  </si>
  <si>
    <t>Kenneth Obianyo</t>
  </si>
  <si>
    <t>Form M / PAAR;Certificate Utilization;LPCO;</t>
  </si>
  <si>
    <t>Nil</t>
  </si>
  <si>
    <t>Issues with backend or agency-related and Remita(payment providers)</t>
  </si>
  <si>
    <t>Personal Notes;Existing Knowledge Base;Previous Tickets;User Guide;Supervisor;Escalation - CL;</t>
  </si>
  <si>
    <t>Steps to UCR creation</t>
  </si>
  <si>
    <t>None for now</t>
  </si>
  <si>
    <t>Alfred Malachy</t>
  </si>
  <si>
    <t>Certificate Utilization;Form M / PAAR;Payment;</t>
  </si>
  <si>
    <t>Company Address Discrepancy, Request for additional product – NAFDAC License, Assistance Required for SON Consignment Document Application, Inquiry on Amendment of Approved SONCAP Import Permit and Declared HS Code Does Not Align with Customs Classification</t>
  </si>
  <si>
    <t>Personal Notes;User Guide;Existing Knowledge Base;Supervisor;Previous Tickets;Escalation - CL;</t>
  </si>
  <si>
    <t>How to verify that the HS Code, quantity, and unit of measurement match across the Consignment Document, Import Permit, Form M, and B'Odogwu GOODS section.</t>
  </si>
  <si>
    <t>A recent difficult issue involved a customer whose payment status remained "Pending Payment" on the NSW platform despite a successful payment and bank debit. The issue required escalation to the technical team, causing delays. It would have been resolved more efficiently with a Knowledge Base article on payment validation issues, clear escalation procedures, and a way to verify payment status between the payment gateway and the NSW platform.</t>
  </si>
  <si>
    <t>Simon Rosemary</t>
  </si>
  <si>
    <t>Application Submission;Certificate Utilization;Login &amp; Authentication;</t>
  </si>
  <si>
    <t>Excel Template</t>
  </si>
  <si>
    <t>Excel and some error message NSW</t>
  </si>
  <si>
    <t>Personal Notes;</t>
  </si>
  <si>
    <t>Declared HS Code alignment</t>
  </si>
  <si>
    <t>The client reported being unable to make payment because the Payment header was not displaying on the NSW platform. As a result, the client was unable to make payment. The request to get customer details came in late, as it was requested for escalation</t>
  </si>
  <si>
    <t>Felicia Ejoor</t>
  </si>
  <si>
    <t>Certificate Utilization;Form M / PAAR;Login &amp; Authentication;</t>
  </si>
  <si>
    <t>certificate utilization</t>
  </si>
  <si>
    <t>issues related with cl</t>
  </si>
  <si>
    <t>Personal Notes;User Guide;Existing Knowledge Base;Supervisor;Escalation - CL;Previous Tickets;</t>
  </si>
  <si>
    <t>knowledge base</t>
  </si>
  <si>
    <t>Larry Eduwaye</t>
  </si>
  <si>
    <t>Issues that has to do with discrepancies in the quantities and units declared on NSW and on Bodogwu</t>
  </si>
  <si>
    <t>Certificate Utilization Issues and issues with application pending approvals</t>
  </si>
  <si>
    <t>Issues with clients experiencing the org,hibernate error message while trying to summit consignment document on NSW</t>
  </si>
  <si>
    <t>Payment receipt issues, Amendment or query resubmission</t>
  </si>
  <si>
    <t>Personal Notes;User Guide;Supervisor;</t>
  </si>
  <si>
    <t>How to successfully upload excel file</t>
  </si>
  <si>
    <t>A customer who got the org.hibernate error message, it was very difficult to solve, as the customer has to send the reference number of her application, the reference number has to be sent to CL before the customer will be able to summit her application Though, the issue was later resolved</t>
  </si>
  <si>
    <t>Adeyemi Adedeji</t>
  </si>
  <si>
    <t>Login &amp; Authentication;Certificate Utilization;Form M / PAAR;</t>
  </si>
  <si>
    <t>Custom utilization issues</t>
  </si>
  <si>
    <t>Use of the Excel template</t>
  </si>
  <si>
    <t>Excel sheet template</t>
  </si>
  <si>
    <t>Excel sheet template issues, Password reset</t>
  </si>
  <si>
    <t>How to use the Excel Template</t>
  </si>
  <si>
    <t>Client complained of an inability to upload an Excel template with an error response: Unparseable date. Training on how to fill out the Excel template and that it's better to use Microsoft Excel than any other spreadsheet</t>
  </si>
  <si>
    <t>Kehinde Busayo</t>
  </si>
  <si>
    <t>Certificate Utilization;LPCO;Application Submission;</t>
  </si>
  <si>
    <t>Certificate Utilization and Approval delays</t>
  </si>
  <si>
    <t>I find it most difficult to explain issues involving B'Odogwu and the National Single Window, especially validation errors such as HS Code mismatches, missing certificates, or authorization errors.</t>
  </si>
  <si>
    <t>I frequently escalate issues involving MDA approval delays, B'Odogwu and NSW integration errors, and technical system glitches, as these often require investigation or resolution by the technical team or the relevant MDA rather than the Helpdesk.</t>
  </si>
  <si>
    <t>BOdugwu complex validation errors, HS Code mismatches or not on dropdown and certificate discrepancies</t>
  </si>
  <si>
    <t>User Guide;Existing Knowledge Base;Escalation - CL;Personal Notes;Supervisor;</t>
  </si>
  <si>
    <t>A troubleshooting guide for common B'Odogwu and National Single Window integration issues, including validation errors, HS Code mismatches, and their resolutions.</t>
  </si>
  <si>
    <t>A recent difficult issue involved a user experiencing an HS Code mismatch between B'Odogwu and the National Single Window, which prevented the application from progressing. It would have been resolved more efficiently if there had been a knowledge base article with common validation errors, their causes, and clear troubleshooting steps, including whether the issue originated from NSW, B'Odogwu, or the relevant MDA.</t>
  </si>
  <si>
    <t>Godwin Omotosho</t>
  </si>
  <si>
    <t>Custom utilization.</t>
  </si>
  <si>
    <t>Multiple products are involved under a single consignment. The HS Code was incorrectly selected during application submission.</t>
  </si>
  <si>
    <t>There is a mismatch between system records that cannot be corrected by the user The error message is generic or does not indicate the actual cause.</t>
  </si>
  <si>
    <t>B'odogwu errors</t>
  </si>
  <si>
    <t>User Guide;Supervisor;Existing Knowledge Base;Previous Tickets;Personal Notes;Escalation - CL;</t>
  </si>
  <si>
    <t>Prerequisites for application submission. Required documents and validation checks. Common errors encountered during submission and their resolutions. Steps for activating SONCAP and PC certificates. Reasons why certificate activation may fail.</t>
  </si>
  <si>
    <t>One particularly difficult customer issue involved a TIN mismatch error when a customer attempted to submit an application through B'Odogwu. The customer was using a TIN on B'Odogwu but had registered a separate account on NSW using a Tax ID. As a result, the application was submitted under the Tax ID account, while B'Odogwu was validating against the TIN account, causing the mismatch error. The challenge was identifying the root cause because the customer had two separate NSW accounts linked to different identification numbers. This required additional investigation to confirm which account contained the application and why the records were not aligning between the systems. The resolution was to have the customer transfer and upload all relevant documents from the Tax ID account to the TIN account so that the application could correctly correlate with the details on B'Odogwu. The information that would have helped resolve the issue more efficiently was earlier visibility of all customer accounts associated with both the TIN and Tax ID, as well as a clearer indication that the application had been submitted under a different account. Having this information readily available would have reduced troubleshooting time and allowed the issue to be identified and resolved much faster.</t>
  </si>
  <si>
    <t>Samuel Adeniji</t>
  </si>
  <si>
    <t>Less than 3 months</t>
  </si>
  <si>
    <t>Application Submission;Form M / PAAR;LPCO;</t>
  </si>
  <si>
    <t>Application Submission.</t>
  </si>
  <si>
    <t>Issues from B'odogwu that are linked with NSW</t>
  </si>
  <si>
    <t>Topics like: Reset Password, Change of Customer's Address and Phone number on NSW Portal</t>
  </si>
  <si>
    <t>User Guide;Existing Knowledge Base;Supervisor;Personal Notes;</t>
  </si>
  <si>
    <t>Frequent Asked Question by Customers and step by step Answers. for the benefit of the new joiners.</t>
  </si>
  <si>
    <t>When Country of Origin is not populating, on the item list page. Step by Step Process in resolving these issues, should be provided on the Knowledge base.</t>
  </si>
  <si>
    <t>Elizabeth Echanah</t>
  </si>
  <si>
    <t>Utilization issues</t>
  </si>
  <si>
    <t>Utilization issues and approval for a fresh application and supplementary approval are hard to resolve, and users don't want to understand even when you explain.</t>
  </si>
  <si>
    <t>Utilization, quantity and hscode</t>
  </si>
  <si>
    <t>Utilization, quantity</t>
  </si>
  <si>
    <t>Personal Notes;Supervisor;Existing Knowledge Base;Previous Tickets;hands on practise on the testing environment;Escalation - CL;</t>
  </si>
  <si>
    <t>Differences and relationship between MD &amp; CD - PC &amp; SC</t>
  </si>
  <si>
    <t>Discrepancy between MD CD - PC SC. The user was trying to reference a PC number to a consignment document, which is not possible. I was trying to clarify because I knew what the issue was about, but user was holding on to his complaint even when the fact was obvious. I was able to resolve it with the assistance from my supervisor, who still explained same thing to the user.</t>
  </si>
  <si>
    <t>Application Submission;Certificate Utilization;LPCO;</t>
  </si>
  <si>
    <t>certificate utilization issues</t>
  </si>
  <si>
    <t>it varies</t>
  </si>
  <si>
    <t>Existing Knowledge Base;Personal Notes;Supervisor;</t>
  </si>
  <si>
    <t>i don't have any</t>
  </si>
  <si>
    <t>Alice Attah</t>
  </si>
  <si>
    <t>Certificate utilazation</t>
  </si>
  <si>
    <t>Form M/paar</t>
  </si>
  <si>
    <t>Existing Knowledge Base;</t>
  </si>
  <si>
    <t>Rosemary Nnaji</t>
  </si>
  <si>
    <t>Kindly note that the issues that typically take the longest to resolve are those relating to Licenses Permits Certificates and Others (LPCO), Form M / PAAR, Certificate Utitization.</t>
  </si>
  <si>
    <t>The issue I find most difficult to explain or resolve is the Excel sheet related issue encountered during the application process.</t>
  </si>
  <si>
    <t>The issue I frequently escalate is the inability to upload the Excel sheet under the Item Header section.</t>
  </si>
  <si>
    <t>The Excel sheet section of the application process is an area where I often seek guidance and assistance from my colleagues and supervisor.</t>
  </si>
  <si>
    <t>If I were to add one article to the knowledge base today, I would add an article on how to troubleshoot and resolve Excel sheet related issues encountered during the application process.</t>
  </si>
  <si>
    <t>The issue involves a customer who was applying for a Consignment Document. After selecting the country of origin as Indonesia, the customer discovered that the Port of Departure (Patimban Port) was not available on the NSW portal. It is recommended that the NSW team add Patimban Port to the list of available ports on the NSW platform and liaise with the Customs to ensure the port is also added on their end.</t>
  </si>
  <si>
    <t>Gbaden Aondohemba</t>
  </si>
  <si>
    <t>Certificate Utilization;Form M / PAAR;LPCO;</t>
  </si>
  <si>
    <t>Document Item and Quantity issues.</t>
  </si>
  <si>
    <t>Most times it comes down to trying to explain to customers how the item and quantity fields work. They tend to knowingly or unknowingly input higher numbers or descriptions.</t>
  </si>
  <si>
    <t>Payment issues definitely. This has to do with the user`s money and one might pass the wrong information to users, which might faulter the application.</t>
  </si>
  <si>
    <t>User Registrations (email updates), Payment redemptions.</t>
  </si>
  <si>
    <t>Personal Notes;User Guide;Supervisor;Escalation - CL;</t>
  </si>
  <si>
    <t>NIL</t>
  </si>
  <si>
    <t>That would be an issue where a migrated SON import permit certificate was integrated to NSW with wrong HS codes according to the user. Issue was escalated and it is still being worked as at this time I filled this form.</t>
  </si>
  <si>
    <t>Ruth Dickson</t>
  </si>
  <si>
    <t>Certificate Utilization;Payment;Application Submission;</t>
  </si>
  <si>
    <t>The difficulties come from customers' inability to understand HS CODE ITEM COUNT ERRORS &amp; QUANTITY ERRORS associated with B'odogwu validation errors</t>
  </si>
  <si>
    <t>Master document / Consignment document failures due to technical issues</t>
  </si>
  <si>
    <t>Technical issues that needs the CL teams</t>
  </si>
  <si>
    <t>Personal Notes;Existing Knowledge Base;Supervisor;</t>
  </si>
  <si>
    <t>Guidelines on how to attend to issues Basically, articles on do's and don'ts when we agents are attending to tickets.</t>
  </si>
  <si>
    <t>A customer was having issues understanding the B'odogw validation error message about the quantity being declared on B'odogwu being different from the quantity he was declaring on B'odogwu. He was informed that all quantities filled must be in sync, and he kept on arguing that it had never been that way. After sending a series of messages and he was not understanding, I had to call him to verbally explain things to him, which he eventually understood, and his concerns were resolved.</t>
  </si>
  <si>
    <t>Justina Anazia</t>
  </si>
  <si>
    <t>User Registration;Application Submission;Certificate Utilization;</t>
  </si>
  <si>
    <t>Bodogwu ERROR MESSAGES</t>
  </si>
  <si>
    <t>Bodogwu Error message</t>
  </si>
  <si>
    <t>Personal Notes;Escalation - CL;Supervisor;Existing Knowledge Base;User Guide;Previous Tickets;</t>
  </si>
  <si>
    <t>nil</t>
  </si>
  <si>
    <t>The customer reported that after making payment via bank transfer using the generated RRR, the payment was successful. However, the NSW platform generated a different RRR for another payment instead of updating the original transaction.</t>
  </si>
  <si>
    <t>Esihegbeme Ogedegbe</t>
  </si>
  <si>
    <t>Form M / PAAR;Application Submission;Login &amp; Authentication;</t>
  </si>
  <si>
    <t>Certificate Utilization and LPCO approval</t>
  </si>
  <si>
    <t>Sea manifest</t>
  </si>
  <si>
    <t>NSW server error</t>
  </si>
  <si>
    <t>My saved template;</t>
  </si>
  <si>
    <t>I handled a issue where B'Odogwu required a SONCAP certificate for an HS Code that is not classified under SON on the NSW portal. Having a synchronized database between NSW and B'Odogwu showing real-time regulatory mappings for HS Codes would have helped clarify and resolve the discrepancy faster.</t>
  </si>
  <si>
    <t>Divine Samuel</t>
  </si>
  <si>
    <t>Certificate Utilization;Login &amp; Authentication;Application Submission;</t>
  </si>
  <si>
    <t>Excel Templet</t>
  </si>
  <si>
    <t>Certificate utilization</t>
  </si>
  <si>
    <t>Kindly ensure that the HS Code and item count on your National Single Window (NSW) permit exactly match the information declared on the B'Odogwu platform to avoid any discrepancies.</t>
  </si>
  <si>
    <t>Abisola Babatunde</t>
  </si>
  <si>
    <t>Login &amp; Authentication;Form M / PAAR;Payment;</t>
  </si>
  <si>
    <t>system error messages, application processing errors, and cases requiring technical investigation.</t>
  </si>
  <si>
    <t>The topics I find most difficult to explain or resolve for users are issues involving system error messages, their solutions in the Knowledge Base would improve troubleshooting efficiency and enable quicker support for users.</t>
  </si>
  <si>
    <t>The issues I frequently escalate are those related to unclear system error messages, common error messages with their solutions in the Knowledge Base would help improve first-level resolution and reduce dependency on escalation.</t>
  </si>
  <si>
    <t>Personal Notes;User Guide;Supervisor;Existing Knowledge Base;Previous Tickets;Escalation - CL;</t>
  </si>
  <si>
    <t>If I could add one article to the Knowledge Base today, it would be a comprehensive troubleshooting guide for common National Single Window (NSW) application errors. The article would include common error messages, their possible causes, recommended resolutions, and the information customers should provide when reporting an issue, such as screenshots, reference numbers, and the steps performed before the error occurred. This would enable support agents to resolve issues more quickly, reduce unnecessary escalations, ensure consistent responses, and improve the overall customer experience.</t>
  </si>
  <si>
    <t>A recent customer issue that was particularly difficult to resolve involved an application error on the National Single Window (NSW) platform. The customer stated the issue but initially did not provide a screenshot of the error message, making it difficult to identify the root cause or determine the appropriate troubleshooting steps.</t>
  </si>
  <si>
    <t>Emmanuel Ekpete</t>
  </si>
  <si>
    <t>The issues that take the longest to resolve are typically certificate utilization/validation issues, LPCO-related issues, and Form M/PAAR validation or linkage issues, especially when they require investigation or intervention by the technical team, NAFDAC, SON, or Nigeria Customs Service.</t>
  </si>
  <si>
    <t>The topics I find most difficult to explain or resolve are certificate utilization issues, particularly cases where a certificate is reported as already utilized, incorrectly linked to another application, or unavailable for a new Form M/PAAR application, as these often require further investigation and technical intervention.</t>
  </si>
  <si>
    <t>Yes. I am not fully confident with certificate utilization/validation issues, particularly when a certificate is flagged as already utilized or linked to another application. These cases cannot always be resolved directly by the support team and often need to be escalated to the relevant technical team or MDA for investigation. This means the client may have to wait for feedback before the issue can be resolved, and the turnaround time can sometimes be lengthy.</t>
  </si>
  <si>
    <t>I frequently escalate certificate utilization and validation issues, especially cases where a certificate is flagged as already utilized, incorrectly linked to another application, or unavailable for Form M/PAAR processing. These cases often require technical investigation or intervention from the relevant MDA or technical team, so they cannot always be resolved directly at the support level.</t>
  </si>
  <si>
    <t>Yes. I sometimes rely on a colleague or supervisor for guidance, particularly when handling HS Code discrepancies or mismatches, such as cases where the HS Code declared by the client does not align with the agency permit, certificate, or Customs requirements. These cases can require additional clarification or confirmation to ensure the correct HS Code is applied before advising the client.</t>
  </si>
  <si>
    <t>Personal Notes;Previous Tickets;Existing Knowledge Base;Supervisor;User Guide;</t>
  </si>
  <si>
    <t>If I could add one article to the Knowledge Base today, it would be a comprehensive troubleshooting guide for Certificate Utilization and Validation Issues and HS Code discrepancies. It should include common error messages, causes, step-by-step resolution procedures, when to escalate, and the required information to obtain from clients for escalation.</t>
  </si>
  <si>
    <t>A recent difficult issue involved a certificate utilization/validation error, where a client received a message that the certificate had already been used in another application, even though the client confirmed that it had never been used before. The issue was difficult to resolve because it required technical investigation and validation by the relevant MDA, rather than a resolution that could be provided directly by customer support. The client therefore had to wait for feedback, which extended the resolution time. It would have helped to resolve the issue more efficiently if we had clear visibility into the certificate’s utilization history, including the application/reference number where it was allegedly used, the certificate status, and relevant validation logs. This would make it easier to identify the cause and provide a quicker resolution.</t>
  </si>
  <si>
    <t>Blessing Acha</t>
  </si>
  <si>
    <t>Certificate Utilization;Payment;Form M / PAAR;</t>
  </si>
  <si>
    <t>Certificate Utilization on Bodogwu</t>
  </si>
  <si>
    <t>All topic, for clarity purpose and also providing cx with the right information</t>
  </si>
  <si>
    <t>Personal Notes;User Guide;Existing Knowledge Base;Supervisor;Escalation - CL;</t>
  </si>
  <si>
    <t>Glory Ezeji</t>
  </si>
  <si>
    <t>Login &amp; Authentication;Application Submission;Certificate Utilization;</t>
  </si>
  <si>
    <t>NAFDAC Consignment Excel Upload</t>
  </si>
  <si>
    <t>NSW Error, Certificate Utilization.</t>
  </si>
  <si>
    <t>NSW Error, Excel for NAFDAC Consignment, Migration Error</t>
  </si>
  <si>
    <t>Personal Notes;Supervisor;User Guide;</t>
  </si>
  <si>
    <t>User Guide for NAFDAC Consignment Excel Upload</t>
  </si>
  <si>
    <t>Certificate Utilization for FORM M. If the work around was communicated earlier to enable us provide faster resolution to customers.</t>
  </si>
  <si>
    <t>Hamza Nanajuwairriya</t>
  </si>
  <si>
    <t>Application Submission;User Registration;Payment;</t>
  </si>
  <si>
    <t>The excel upload errors as well as the certificate validations on b'odogwu</t>
  </si>
  <si>
    <t>None yet</t>
  </si>
  <si>
    <t>Hs codes related issues</t>
  </si>
  <si>
    <t>Decoding B’odogwu vague errors: A quick reference guide for common cryptic error messages and their easy resolutions.</t>
  </si>
  <si>
    <t>One of the most challenging customer issues I’ve had to resolve recently involved Chapter 99 HS codes. A client urgently needed these codes to be available on National Single Window for their import documentation, but they discovered that Chapter 99 wasn’t listed there. At first, the term itself was strange to me, Chapter 99 is a special section of the Harmonized System (HS) used for temporary provisions, exemptions, or trade remedies. Because it’s not commonly used, it wasn’t immediately clear why it wasn’t showing up in the system. The client was under pressure, and I had to escalate quickly. Knowing beforehand that Chapter 99 HS codes can sometimes be visible on B’odogwu but not on National Single Window would have made a huge difference in resolving that case more efficiently. If I had that information upfront, I could have: Explained the discrepancy to the client immediately instead of spending time searching for the codes myself. Escalated faster to the right supervisors to assist in resolving the case.</t>
  </si>
  <si>
    <t>Module</t>
  </si>
  <si>
    <t>Avg Score</t>
  </si>
  <si>
    <t>Gap Rate</t>
  </si>
  <si>
    <t>Tenure</t>
  </si>
  <si>
    <t>Average Confidence Score</t>
  </si>
  <si>
    <t>Number of Gap Modules</t>
  </si>
  <si>
    <t>Gap %</t>
  </si>
  <si>
    <t>Overall Flag</t>
  </si>
  <si>
    <t>Resource</t>
  </si>
  <si>
    <t>Responses Using Resource</t>
  </si>
  <si>
    <t>% of Respondents</t>
  </si>
  <si>
    <t>Personal Notes</t>
  </si>
  <si>
    <t>User Guide</t>
  </si>
  <si>
    <t>Existing Knowledge Base</t>
  </si>
  <si>
    <t>Supervisor</t>
  </si>
  <si>
    <t>Escalation - CL</t>
  </si>
  <si>
    <t>Previous Tickets</t>
  </si>
  <si>
    <t>Research</t>
  </si>
  <si>
    <t>How to Use This Workbook</t>
  </si>
  <si>
    <r>
      <rPr>
        <b/>
        <sz val="11"/>
        <color theme="1"/>
        <rFont val="Calibri"/>
        <family val="2"/>
        <scheme val="minor"/>
      </rPr>
      <t>1. Raw Data</t>
    </r>
    <r>
      <rPr>
        <sz val="11"/>
        <color theme="1"/>
        <rFont val="Calibri"/>
        <family val="2"/>
        <scheme val="minor"/>
      </rPr>
      <t>: source responses. Do not change the column headers if you want the formulas to continue working.</t>
    </r>
  </si>
  <si>
    <r>
      <rPr>
        <b/>
        <sz val="11"/>
        <color theme="1"/>
        <rFont val="Calibri"/>
        <family val="2"/>
        <scheme val="minor"/>
      </rPr>
      <t>2. Module Analysis</t>
    </r>
    <r>
      <rPr>
        <sz val="11"/>
        <color theme="1"/>
        <rFont val="Calibri"/>
        <family val="2"/>
        <scheme val="minor"/>
      </rPr>
      <t>: automatically counts confidence responses and calculates Avg Score and Gap Rate from Raw Data.</t>
    </r>
  </si>
  <si>
    <r>
      <rPr>
        <b/>
        <sz val="11"/>
        <color theme="1"/>
        <rFont val="Calibri"/>
        <family val="2"/>
        <scheme val="minor"/>
      </rPr>
      <t>3. Individual Analysis:</t>
    </r>
    <r>
      <rPr>
        <sz val="11"/>
        <color theme="1"/>
        <rFont val="Calibri"/>
        <family val="2"/>
        <scheme val="minor"/>
      </rPr>
      <t xml:space="preserve"> shows each rep's self-reported confidence across modules and flags their overall gap level.</t>
    </r>
  </si>
  <si>
    <r>
      <rPr>
        <b/>
        <sz val="11"/>
        <color theme="1"/>
        <rFont val="Calibri"/>
        <family val="2"/>
        <scheme val="minor"/>
      </rPr>
      <t>4. Qualitative Themes</t>
    </r>
    <r>
      <rPr>
        <sz val="11"/>
        <color theme="1"/>
        <rFont val="Calibri"/>
        <family val="2"/>
        <scheme val="minor"/>
      </rPr>
      <t>: summarizes recurring themes from open-ended responses. These are analyst-coded findings, not automated Excel calculations.</t>
    </r>
  </si>
  <si>
    <r>
      <rPr>
        <b/>
        <sz val="11"/>
        <color theme="1"/>
        <rFont val="Calibri"/>
        <family val="2"/>
        <scheme val="minor"/>
      </rPr>
      <t>5. Resource Analysis:</t>
    </r>
    <r>
      <rPr>
        <sz val="11"/>
        <color theme="1"/>
        <rFont val="Calibri"/>
        <family val="2"/>
        <scheme val="minor"/>
      </rPr>
      <t xml:space="preserve"> shows which support resources reps report using most often.</t>
    </r>
  </si>
  <si>
    <r>
      <rPr>
        <b/>
        <sz val="11"/>
        <color theme="1"/>
        <rFont val="Calibri"/>
        <family val="2"/>
        <scheme val="minor"/>
      </rPr>
      <t>6. Executive Summary:</t>
    </r>
    <r>
      <rPr>
        <sz val="11"/>
        <color theme="1"/>
        <rFont val="Calibri"/>
        <family val="2"/>
        <scheme val="minor"/>
      </rPr>
      <t xml:space="preserve"> management-ready interpretation and recommended training priorities.</t>
    </r>
  </si>
  <si>
    <r>
      <rPr>
        <b/>
        <sz val="11"/>
        <color theme="1"/>
        <rFont val="Calibri"/>
        <family val="2"/>
        <scheme val="minor"/>
      </rPr>
      <t>7. Important:</t>
    </r>
    <r>
      <rPr>
        <sz val="11"/>
        <color theme="1"/>
        <rFont val="Calibri"/>
        <family val="2"/>
        <scheme val="minor"/>
      </rPr>
      <t xml:space="preserve"> the module ratings measure confidence, not demonstrated competence. Combine this with QA scores, AHT, FCR, CSAT, ticket categories and escalation data before finalizing the training plan.</t>
    </r>
  </si>
  <si>
    <t>Scoring</t>
  </si>
  <si>
    <t>Neutral + Need More Knowledge + Not Confident divided by valid responses.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</si>
</sst>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b/>
      <sz val="18"/>
      <color rgb="FFFFFFFF"/>
      <name val="Calibri"/>
      <family val="2"/>
    </font>
    <font>
      <b/>
      <sz val="13"/>
      <color rgb="FFFFFFFF"/>
      <name val="Calibri"/>
      <family val="2"/>
    </font>
    <font>
      <b/>
      <sz val="11"/>
      <name val="Calibri"/>
      <family val="2"/>
    </font>
    <font>
      <b/>
      <sz val="11"/>
      <color rgb="FFFFFFFF"/>
      <name val="Calibri"/>
      <family val="2"/>
    </font>
    <font>
      <b/>
      <sz val="16"/>
      <color rgb="FFFFFFFF"/>
      <name val="Calibri"/>
      <family val="2"/>
    </font>
    <font>
      <b/>
      <sz val="11"/>
      <color theme="1"/>
      <name val="Calibri"/>
      <family val="2"/>
      <scheme val="minor"/>
    </font>
    <font>
      <b/>
      <sz val="12"/>
      <color theme="0"/>
      <name val="Calibri"/>
      <family val="2"/>
      <scheme val="minor"/>
    </font>
  </fonts>
  <fills count="9">
    <fill>
      <patternFill patternType="none"/>
    </fill>
    <fill>
      <patternFill patternType="gray125"/>
    </fill>
    <fill>
      <patternFill patternType="solid">
        <fgColor rgb="FF1F4E78"/>
      </patternFill>
    </fill>
    <fill>
      <patternFill patternType="solid">
        <fgColor rgb="FFD9EAF7"/>
      </patternFill>
    </fill>
    <fill>
      <patternFill patternType="solid">
        <fgColor theme="6" tint="0.39997558519241921"/>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FFFF00"/>
        <bgColor indexed="64"/>
      </patternFill>
    </fill>
    <fill>
      <patternFill patternType="solid">
        <fgColor theme="9"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75">
    <xf numFmtId="0" fontId="0" fillId="0" borderId="0" xfId="0"/>
    <xf numFmtId="0" fontId="0" fillId="0" borderId="0" xfId="0" applyAlignment="1">
      <alignment vertical="top" wrapText="1"/>
    </xf>
    <xf numFmtId="0" fontId="0" fillId="0" borderId="0" xfId="0" applyAlignment="1">
      <alignment wrapText="1"/>
    </xf>
    <xf numFmtId="0" fontId="0" fillId="0" borderId="0" xfId="0" applyAlignment="1">
      <alignment vertical="top"/>
    </xf>
    <xf numFmtId="0" fontId="0" fillId="0" borderId="0" xfId="0" applyAlignment="1">
      <alignment horizontal="center" vertical="top" wrapText="1"/>
    </xf>
    <xf numFmtId="0" fontId="0" fillId="0" borderId="1" xfId="0" applyBorder="1" applyAlignment="1">
      <alignment vertical="top" wrapText="1"/>
    </xf>
    <xf numFmtId="0" fontId="1" fillId="0" borderId="0" xfId="0" applyFont="1" applyAlignment="1">
      <alignment horizontal="center" vertical="top" wrapText="1"/>
    </xf>
    <xf numFmtId="0" fontId="0" fillId="0" borderId="1" xfId="0" applyBorder="1" applyAlignment="1">
      <alignment horizontal="center" vertical="top" wrapText="1"/>
    </xf>
    <xf numFmtId="0" fontId="0" fillId="0" borderId="5" xfId="0" applyBorder="1" applyAlignment="1">
      <alignment horizontal="center"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0" fillId="0" borderId="10" xfId="0" applyBorder="1"/>
    <xf numFmtId="0" fontId="0" fillId="0" borderId="9" xfId="0" applyBorder="1"/>
    <xf numFmtId="0" fontId="0" fillId="4" borderId="1" xfId="0" applyFill="1" applyBorder="1" applyAlignment="1">
      <alignment vertical="top" wrapText="1"/>
    </xf>
    <xf numFmtId="0" fontId="0" fillId="5" borderId="1" xfId="0" applyFill="1" applyBorder="1" applyAlignment="1">
      <alignment vertical="top"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0" fillId="0" borderId="7" xfId="0" applyBorder="1" applyAlignment="1">
      <alignment vertical="top" wrapText="1"/>
    </xf>
    <xf numFmtId="0" fontId="0" fillId="0" borderId="8" xfId="0" applyBorder="1" applyAlignment="1">
      <alignment horizontal="center" vertical="center" wrapText="1"/>
    </xf>
    <xf numFmtId="0" fontId="3" fillId="3" borderId="7" xfId="0" applyFont="1" applyFill="1" applyBorder="1" applyAlignment="1">
      <alignment horizontal="center" vertical="top" wrapText="1"/>
    </xf>
    <xf numFmtId="0" fontId="3" fillId="3" borderId="4" xfId="0" applyFont="1" applyFill="1" applyBorder="1" applyAlignment="1">
      <alignment horizontal="center" vertical="top" wrapText="1"/>
    </xf>
    <xf numFmtId="0" fontId="3" fillId="3" borderId="8" xfId="0" applyFont="1" applyFill="1" applyBorder="1" applyAlignment="1">
      <alignment horizontal="center" vertical="top" wrapText="1"/>
    </xf>
    <xf numFmtId="0" fontId="0" fillId="0" borderId="2" xfId="0" applyBorder="1" applyAlignment="1">
      <alignment vertical="top" wrapText="1"/>
    </xf>
    <xf numFmtId="0" fontId="0" fillId="0" borderId="9" xfId="0" applyBorder="1" applyAlignment="1">
      <alignment horizontal="center" vertical="top" wrapText="1"/>
    </xf>
    <xf numFmtId="0" fontId="0" fillId="0" borderId="2" xfId="0" applyBorder="1" applyAlignment="1">
      <alignment horizontal="center" vertical="top" wrapText="1"/>
    </xf>
    <xf numFmtId="0" fontId="0" fillId="0" borderId="1" xfId="0" applyBorder="1"/>
    <xf numFmtId="0" fontId="0" fillId="0" borderId="1" xfId="0" applyBorder="1" applyAlignment="1">
      <alignment horizontal="left"/>
    </xf>
    <xf numFmtId="2" fontId="0" fillId="0" borderId="1" xfId="0" applyNumberFormat="1" applyBorder="1" applyAlignment="1">
      <alignment horizontal="left"/>
    </xf>
    <xf numFmtId="164" fontId="0" fillId="0" borderId="1" xfId="0" applyNumberFormat="1" applyBorder="1" applyAlignment="1">
      <alignment horizontal="left"/>
    </xf>
    <xf numFmtId="0" fontId="0" fillId="0" borderId="5" xfId="0" applyBorder="1"/>
    <xf numFmtId="0" fontId="0" fillId="0" borderId="6" xfId="0" applyBorder="1" applyAlignment="1">
      <alignment horizontal="left"/>
    </xf>
    <xf numFmtId="0" fontId="4" fillId="2" borderId="7" xfId="0" applyFont="1" applyFill="1" applyBorder="1"/>
    <xf numFmtId="0" fontId="4" fillId="2" borderId="4" xfId="0" applyFont="1" applyFill="1" applyBorder="1"/>
    <xf numFmtId="0" fontId="4" fillId="2" borderId="8" xfId="0" applyFont="1" applyFill="1" applyBorder="1"/>
    <xf numFmtId="0" fontId="0" fillId="0" borderId="2" xfId="0" applyBorder="1" applyAlignment="1">
      <alignment horizontal="left"/>
    </xf>
    <xf numFmtId="2" fontId="0" fillId="0" borderId="2" xfId="0" applyNumberFormat="1" applyBorder="1" applyAlignment="1">
      <alignment horizontal="left"/>
    </xf>
    <xf numFmtId="164" fontId="0" fillId="0" borderId="2" xfId="0" applyNumberFormat="1" applyBorder="1" applyAlignment="1">
      <alignment horizontal="left"/>
    </xf>
    <xf numFmtId="0" fontId="0" fillId="0" borderId="10" xfId="0" applyBorder="1" applyAlignment="1">
      <alignment horizontal="left"/>
    </xf>
    <xf numFmtId="2" fontId="0" fillId="0" borderId="1" xfId="0" applyNumberFormat="1" applyBorder="1"/>
    <xf numFmtId="164" fontId="0" fillId="0" borderId="1" xfId="0" applyNumberFormat="1" applyBorder="1"/>
    <xf numFmtId="0" fontId="0" fillId="0" borderId="6" xfId="0" applyBorder="1"/>
    <xf numFmtId="0" fontId="0" fillId="0" borderId="2" xfId="0" applyBorder="1"/>
    <xf numFmtId="2" fontId="0" fillId="0" borderId="2" xfId="0" applyNumberFormat="1" applyBorder="1"/>
    <xf numFmtId="164" fontId="0" fillId="0" borderId="2" xfId="0" applyNumberFormat="1" applyBorder="1"/>
    <xf numFmtId="164" fontId="0" fillId="0" borderId="6" xfId="0" applyNumberFormat="1" applyBorder="1"/>
    <xf numFmtId="164" fontId="0" fillId="0" borderId="10" xfId="0" applyNumberFormat="1" applyBorder="1"/>
    <xf numFmtId="0" fontId="0" fillId="0" borderId="1" xfId="0" applyBorder="1" applyAlignment="1">
      <alignment wrapText="1"/>
    </xf>
    <xf numFmtId="0" fontId="4" fillId="2" borderId="0" xfId="0" applyFont="1" applyFill="1" applyAlignment="1">
      <alignment horizontal="center" vertical="center" wrapText="1"/>
    </xf>
    <xf numFmtId="0" fontId="0" fillId="0" borderId="0" xfId="0" applyAlignment="1">
      <alignment horizontal="center" vertical="center" wrapText="1"/>
    </xf>
    <xf numFmtId="0" fontId="0" fillId="7" borderId="0" xfId="0" applyFill="1" applyAlignment="1">
      <alignment horizontal="center" vertical="center" wrapText="1"/>
    </xf>
    <xf numFmtId="0" fontId="0" fillId="0" borderId="0" xfId="0" applyAlignment="1">
      <alignment horizontal="center"/>
    </xf>
    <xf numFmtId="0" fontId="6" fillId="0" borderId="0" xfId="0" applyFont="1" applyAlignment="1">
      <alignment horizontal="center"/>
    </xf>
    <xf numFmtId="0" fontId="0" fillId="8" borderId="5" xfId="0" applyFill="1" applyBorder="1"/>
    <xf numFmtId="0" fontId="0" fillId="8" borderId="1" xfId="0" applyFill="1" applyBorder="1"/>
    <xf numFmtId="2" fontId="0" fillId="8" borderId="1" xfId="0" applyNumberFormat="1" applyFill="1" applyBorder="1"/>
    <xf numFmtId="164" fontId="0" fillId="8" borderId="1" xfId="0" applyNumberFormat="1" applyFill="1" applyBorder="1"/>
    <xf numFmtId="0" fontId="0" fillId="8" borderId="6" xfId="0" applyFill="1" applyBorder="1"/>
    <xf numFmtId="0" fontId="6" fillId="0" borderId="0" xfId="0" applyFont="1" applyAlignment="1">
      <alignment vertical="center"/>
    </xf>
    <xf numFmtId="0" fontId="2" fillId="2" borderId="1" xfId="0" applyFont="1" applyFill="1" applyBorder="1" applyAlignment="1">
      <alignment horizontal="center" vertical="top" wrapText="1"/>
    </xf>
    <xf numFmtId="0" fontId="1" fillId="2" borderId="1" xfId="0" applyFont="1" applyFill="1" applyBorder="1" applyAlignment="1">
      <alignment horizontal="center" vertical="top" wrapText="1"/>
    </xf>
    <xf numFmtId="0" fontId="3" fillId="4"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7" fillId="6" borderId="6" xfId="0" applyFont="1" applyFill="1" applyBorder="1" applyAlignment="1">
      <alignment horizontal="center" vertical="top"/>
    </xf>
    <xf numFmtId="0" fontId="7" fillId="6" borderId="5" xfId="0" applyFont="1" applyFill="1" applyBorder="1" applyAlignment="1">
      <alignment horizontal="center" vertical="top"/>
    </xf>
    <xf numFmtId="0" fontId="5" fillId="2" borderId="0" xfId="0" applyFont="1" applyFill="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0" fontId="0" fillId="0" borderId="0" xfId="0"/>
  </cellXfs>
  <cellStyles count="1">
    <cellStyle name="Normal" xfId="0" builtinId="0"/>
  </cellStyles>
  <dxfs count="64">
    <dxf>
      <numFmt numFmtId="164" formatCode="0.0%"/>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rgb="FFFFFFFF"/>
        <name val="Calibri"/>
        <scheme val="none"/>
      </font>
      <fill>
        <patternFill patternType="solid">
          <fgColor indexed="64"/>
          <bgColor rgb="FF1F4E78"/>
        </patternFill>
      </fill>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numFmt numFmtId="164" formatCode="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rgb="FFFFFFFF"/>
        <name val="Calibri"/>
        <scheme val="none"/>
      </font>
      <fill>
        <patternFill patternType="solid">
          <fgColor indexed="64"/>
          <bgColor rgb="FF1F4E78"/>
        </patternFill>
      </fill>
      <border diagonalUp="0" diagonalDown="0">
        <left style="thin">
          <color indexed="64"/>
        </left>
        <right style="thin">
          <color indexed="64"/>
        </right>
        <top/>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64" formatCode="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FFFFFF"/>
        <name val="Calibri"/>
        <scheme val="none"/>
      </font>
      <fill>
        <patternFill patternType="solid">
          <fgColor indexed="64"/>
          <bgColor rgb="FF1F4E78"/>
        </patternFill>
      </fill>
      <border diagonalUp="0" diagonalDown="0" outline="0">
        <left style="thin">
          <color indexed="64"/>
        </left>
        <right style="thin">
          <color indexed="64"/>
        </right>
        <top/>
        <bottom/>
      </border>
    </dxf>
    <dxf>
      <alignment horizontal="general" vertical="top" textRotation="0" wrapText="1" indent="0" justifyLastLine="0" shrinkToFit="0" readingOrder="0"/>
      <border diagonalUp="0" diagonalDown="0" outline="0">
        <left style="thin">
          <color indexed="64"/>
        </left>
        <right/>
        <top style="thin">
          <color indexed="64"/>
        </top>
        <bottom style="thin">
          <color indexed="64"/>
        </bottom>
      </border>
    </dxf>
    <dxf>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Calibri"/>
        <scheme val="none"/>
      </font>
      <fill>
        <patternFill patternType="solid">
          <fgColor indexed="64"/>
          <bgColor rgb="FFD9EAF7"/>
        </patternFill>
      </fill>
      <alignment horizontal="center" vertical="top" textRotation="0" wrapText="1" indent="0" justifyLastLine="0" shrinkToFit="0" readingOrder="0"/>
      <border diagonalUp="0" diagonalDown="0" outline="0">
        <left style="thin">
          <color indexed="64"/>
        </left>
        <right style="thin">
          <color indexed="64"/>
        </right>
        <top/>
        <bottom/>
      </border>
    </dxf>
    <dxf>
      <alignment horizontal="general" vertical="top"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top"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general" vertical="top"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general"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rgb="FFFFFFFF"/>
        <name val="Calibri"/>
        <scheme val="none"/>
      </font>
      <fill>
        <patternFill patternType="solid">
          <fgColor indexed="64"/>
          <bgColor rgb="FF1F4E78"/>
        </patternFill>
      </fill>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Confidence Gap Rate by Module</a:t>
            </a:r>
          </a:p>
        </c:rich>
      </c:tx>
      <c:layout>
        <c:manualLayout>
          <c:xMode val="edge"/>
          <c:yMode val="edge"/>
          <c:x val="0.3414152777777778"/>
          <c:y val="4.4097222222222225E-2"/>
        </c:manualLayout>
      </c:layout>
      <c:overlay val="1"/>
    </c:title>
    <c:autoTitleDeleted val="0"/>
    <c:plotArea>
      <c:layout/>
      <c:barChart>
        <c:barDir val="col"/>
        <c:grouping val="clustered"/>
        <c:varyColors val="1"/>
        <c:ser>
          <c:idx val="0"/>
          <c:order val="0"/>
          <c:tx>
            <c:strRef>
              <c:f>'Module Analysis'!$H$1</c:f>
              <c:strCache>
                <c:ptCount val="1"/>
                <c:pt idx="0">
                  <c:v>Gap Rate</c:v>
                </c:pt>
              </c:strCache>
            </c:strRef>
          </c:tx>
          <c:spPr>
            <a:ln>
              <a:prstDash val="solid"/>
            </a:ln>
          </c:spPr>
          <c:invertIfNegative val="1"/>
          <c:cat>
            <c:strRef>
              <c:f>'Module Analysis'!$A$2:$A$12</c:f>
              <c:strCache>
                <c:ptCount val="11"/>
                <c:pt idx="0">
                  <c:v>User Registration</c:v>
                </c:pt>
                <c:pt idx="1">
                  <c:v>Login &amp; Authentication</c:v>
                </c:pt>
                <c:pt idx="2">
                  <c:v>UCR</c:v>
                </c:pt>
                <c:pt idx="3">
                  <c:v>Facility Registration</c:v>
                </c:pt>
                <c:pt idx="4">
                  <c:v>Application Submission</c:v>
                </c:pt>
                <c:pt idx="5">
                  <c:v>Payment</c:v>
                </c:pt>
                <c:pt idx="6">
                  <c:v>Certificate Utilization</c:v>
                </c:pt>
                <c:pt idx="7">
                  <c:v>Form M / PAAR Processing</c:v>
                </c:pt>
                <c:pt idx="8">
                  <c:v>LPCO Processing</c:v>
                </c:pt>
                <c:pt idx="9">
                  <c:v>Air Manifest</c:v>
                </c:pt>
                <c:pt idx="10">
                  <c:v>Sea Manifest</c:v>
                </c:pt>
              </c:strCache>
            </c:strRef>
          </c:cat>
          <c:val>
            <c:numRef>
              <c:f>'Module Analysis'!$H$2:$H$12</c:f>
              <c:numCache>
                <c:formatCode>0.0%</c:formatCode>
                <c:ptCount val="11"/>
                <c:pt idx="0">
                  <c:v>0</c:v>
                </c:pt>
                <c:pt idx="1">
                  <c:v>3.4482758620689655E-2</c:v>
                </c:pt>
                <c:pt idx="2">
                  <c:v>0</c:v>
                </c:pt>
                <c:pt idx="3">
                  <c:v>3.4482758620689655E-2</c:v>
                </c:pt>
                <c:pt idx="4">
                  <c:v>3.4482758620689655E-2</c:v>
                </c:pt>
                <c:pt idx="5">
                  <c:v>6.8965517241379309E-2</c:v>
                </c:pt>
                <c:pt idx="6">
                  <c:v>0.2413793103448276</c:v>
                </c:pt>
                <c:pt idx="7">
                  <c:v>0.13793103448275862</c:v>
                </c:pt>
                <c:pt idx="8">
                  <c:v>0.10344827586206896</c:v>
                </c:pt>
                <c:pt idx="9">
                  <c:v>0.96551724137931039</c:v>
                </c:pt>
                <c:pt idx="10">
                  <c:v>0.96551724137931039</c:v>
                </c:pt>
              </c:numCache>
            </c:numRef>
          </c:val>
          <c:extLst>
            <c:ext xmlns:c16="http://schemas.microsoft.com/office/drawing/2014/chart" uri="{C3380CC4-5D6E-409C-BE32-E72D297353CC}">
              <c16:uniqueId val="{00000000-38FB-4E32-8680-C0E900CE6E70}"/>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US"/>
                  <a:t>Module</a:t>
                </a:r>
              </a:p>
            </c:rich>
          </c:tx>
          <c:layout>
            <c:manualLayout>
              <c:xMode val="edge"/>
              <c:yMode val="edge"/>
              <c:x val="0.315359375"/>
              <c:y val="0.93294999999999995"/>
            </c:manualLayout>
          </c:layout>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Gap Rate</a:t>
                </a:r>
              </a:p>
            </c:rich>
          </c:tx>
          <c:overlay val="1"/>
        </c:title>
        <c:numFmt formatCode="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10</xdr:col>
      <xdr:colOff>0</xdr:colOff>
      <xdr:row>1</xdr:row>
      <xdr:rowOff>0</xdr:rowOff>
    </xdr:from>
    <xdr:ext cx="5760000" cy="288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B97DBFE-AB2C-459F-A7BD-9C53D19B2CA8}" name="Table8" displayName="Table8" ref="A2:B5" totalsRowShown="0" headerRowBorderDxfId="53" tableBorderDxfId="52" totalsRowBorderDxfId="51">
  <autoFilter ref="A2:B5" xr:uid="{5B97DBFE-AB2C-459F-A7BD-9C53D19B2CA8}"/>
  <tableColumns count="2">
    <tableColumn id="1" xr3:uid="{28777D77-CD92-4521-80F3-7708179171C6}" name="Assessment population" dataDxfId="50"/>
    <tableColumn id="2" xr3:uid="{C2C8A76D-FD15-4E52-819D-935F8427879A}" name="29" dataDxfId="49"/>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C19E5C4-0A39-4CF0-B896-D77FB08596DD}" name="Table9" displayName="Table9" ref="A20:D27" totalsRowShown="0" headerRowDxfId="48" headerRowBorderDxfId="47" tableBorderDxfId="46" totalsRowBorderDxfId="45">
  <autoFilter ref="A20:D27" xr:uid="{DC19E5C4-0A39-4CF0-B896-D77FB08596DD}"/>
  <tableColumns count="4">
    <tableColumn id="1" xr3:uid="{9A827DED-5E2E-4A05-9E07-C7F4EEB7D281}" name="Rank" dataDxfId="44"/>
    <tableColumn id="2" xr3:uid="{4A233FCD-71EB-47C3-83C5-EC4DE4C207FC}" name="Training Need" dataDxfId="43"/>
    <tableColumn id="3" xr3:uid="{F7FD8BE1-8D9D-4264-BF83-7E551CBFA093}" name="Priority" dataDxfId="42"/>
    <tableColumn id="4" xr3:uid="{13582D02-9D6C-4CBF-B54A-7987AE417993}" name="Recommendation" dataDxfId="4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4809A0F-7654-44CA-9342-B00F02835AC8}" name="Table12" displayName="Table12" ref="A1:E9" totalsRowShown="0" headerRowDxfId="63" dataDxfId="61" headerRowBorderDxfId="62" tableBorderDxfId="60" totalsRowBorderDxfId="59">
  <autoFilter ref="A1:E9" xr:uid="{00000000-0009-0000-0000-000004000000}"/>
  <tableColumns count="5">
    <tableColumn id="1" xr3:uid="{356AABF8-1A6D-4D65-A458-0B07A808961F}" name="Theme" dataDxfId="58"/>
    <tableColumn id="2" xr3:uid="{FD5A928A-88AF-4F9E-A77C-351C45B6441A}" name="Evidence in Responses" dataDxfId="57"/>
    <tableColumn id="3" xr3:uid="{43A73302-ECCA-4D58-90E0-A8DBC15FF1B0}" name="What It Means" dataDxfId="56"/>
    <tableColumn id="4" xr3:uid="{935E2B25-A6BC-477D-ACCF-914A16EF7057}" name="Recommended Action" dataDxfId="55"/>
    <tableColumn id="5" xr3:uid="{716C8F11-10AE-46CE-AAFD-BF89DFBD31A6}" name="Training / Non-Training" dataDxfId="5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F6D4042-000E-4D83-9213-3BE8D38B9854}" name="Table10" displayName="Table10" ref="A1:I12" totalsRowShown="0" headerRowDxfId="40" headerRowBorderDxfId="39" tableBorderDxfId="38" totalsRowBorderDxfId="37">
  <autoFilter ref="A1:I12" xr:uid="{00000000-0009-0000-0000-000002000000}"/>
  <tableColumns count="9">
    <tableColumn id="1" xr3:uid="{3FAA2438-83F2-4680-BE51-0E7B06EED0F2}" name="Module" dataDxfId="36"/>
    <tableColumn id="2" xr3:uid="{72CC21BC-40C6-4D93-8CFA-AFDA482F7CC2}" name="Very Confident" dataDxfId="35"/>
    <tableColumn id="3" xr3:uid="{5EDCFC09-1B32-4B31-B836-C1EA83DCA18D}" name="Confident" dataDxfId="34"/>
    <tableColumn id="4" xr3:uid="{5A052AF7-1827-42DA-BEA5-13E6A1E460B3}" name="Neutral" dataDxfId="33"/>
    <tableColumn id="5" xr3:uid="{BA6AF2B5-7797-4188-9459-CB6037B7399A}" name="Need More Knowledge" dataDxfId="32"/>
    <tableColumn id="6" xr3:uid="{38B16CF6-52A7-4491-8B7D-65E3D3B382AC}" name="Not Confident" dataDxfId="31"/>
    <tableColumn id="7" xr3:uid="{B34C65AA-0120-4FA4-BAA2-8AF33C49D90F}" name="Avg Score" dataDxfId="30"/>
    <tableColumn id="8" xr3:uid="{2142D752-CC85-4260-BBE0-232F2F9BCC94}" name="Gap Rate" dataDxfId="29"/>
    <tableColumn id="9" xr3:uid="{DC7F4C82-78D6-4442-BE57-C727E89624CD}" name="Priority" dataDxfId="28">
      <calculatedColumnFormula>IF(H2&gt;=0.6,"Critical",IF(H2&gt;=0.4,"High",IF(H2&gt;=0.2,"Medium","Low")))</calculatedColumnFormula>
    </tableColumn>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CD6E69E-FA3A-445C-91A7-1E279A1708B0}" name="Table11" displayName="Table11" ref="A1:Q30" totalsRowShown="0" headerRowDxfId="27" headerRowBorderDxfId="26" tableBorderDxfId="25" totalsRowBorderDxfId="24">
  <autoFilter ref="A1:Q30" xr:uid="{00000000-0009-0000-0000-000003000000}"/>
  <tableColumns count="17">
    <tableColumn id="1" xr3:uid="{B4420F62-4F1C-4B8B-9609-984AB75A7E66}" name="Name" dataDxfId="23">
      <calculatedColumnFormula>'Raw Data'!A2</calculatedColumnFormula>
    </tableColumn>
    <tableColumn id="2" xr3:uid="{DC21A59F-45C3-40BF-A340-B6D690689E39}" name="Tenure" dataDxfId="22">
      <calculatedColumnFormula>'Raw Data'!C2</calculatedColumnFormula>
    </tableColumn>
    <tableColumn id="3" xr3:uid="{24E5058A-3E70-45ED-919E-DE95922992A0}" name="User Registration" dataDxfId="21">
      <calculatedColumnFormula>'Raw Data'!O2</calculatedColumnFormula>
    </tableColumn>
    <tableColumn id="4" xr3:uid="{06400698-3023-4C47-9193-6A3041A6F296}" name="Login &amp; Authentication" dataDxfId="20">
      <calculatedColumnFormula>'Raw Data'!P2</calculatedColumnFormula>
    </tableColumn>
    <tableColumn id="5" xr3:uid="{2845B458-2D6E-4843-81AC-7860CA882043}" name="UCR" dataDxfId="19">
      <calculatedColumnFormula>'Raw Data'!Q2</calculatedColumnFormula>
    </tableColumn>
    <tableColumn id="6" xr3:uid="{E356033C-A271-44C8-BF91-97C8F06F21A1}" name="Facility Registration" dataDxfId="18">
      <calculatedColumnFormula>'Raw Data'!R2</calculatedColumnFormula>
    </tableColumn>
    <tableColumn id="7" xr3:uid="{86A5F58A-A00B-4B42-9ED9-C351692B06BD}" name="Application Submission" dataDxfId="17">
      <calculatedColumnFormula>'Raw Data'!S2</calculatedColumnFormula>
    </tableColumn>
    <tableColumn id="8" xr3:uid="{71CB87D0-75EE-4706-BF59-C05561A0A7FF}" name="Payment" dataDxfId="16">
      <calculatedColumnFormula>'Raw Data'!T2</calculatedColumnFormula>
    </tableColumn>
    <tableColumn id="9" xr3:uid="{0AC01671-37B4-4012-B3D3-27EE2A7FDA04}" name="Certificate Utilization" dataDxfId="15">
      <calculatedColumnFormula>'Raw Data'!U2</calculatedColumnFormula>
    </tableColumn>
    <tableColumn id="10" xr3:uid="{A6EC6150-DACE-426B-A503-52EF85D9C85C}" name="Form M / PAAR Processing" dataDxfId="14">
      <calculatedColumnFormula>'Raw Data'!V2</calculatedColumnFormula>
    </tableColumn>
    <tableColumn id="11" xr3:uid="{9C2B1981-CD4C-4D20-A8A9-903926567D52}" name="LPCO Processing" dataDxfId="13">
      <calculatedColumnFormula>'Raw Data'!W2</calculatedColumnFormula>
    </tableColumn>
    <tableColumn id="12" xr3:uid="{22374E1F-150B-4887-B69D-A07C18FBD6A4}" name="Air Manifest" dataDxfId="12">
      <calculatedColumnFormula>'Raw Data'!X2</calculatedColumnFormula>
    </tableColumn>
    <tableColumn id="13" xr3:uid="{E42EB563-BD89-414B-8914-6A922B36F743}" name="Sea Manifest" dataDxfId="11">
      <calculatedColumnFormula>'Raw Data'!Y2</calculatedColumnFormula>
    </tableColumn>
    <tableColumn id="14" xr3:uid="{12B86810-9AE7-4D3B-8953-6B0F69CD4A69}" name="Average Confidence Score" dataDxfId="10">
      <calculatedColumnFormula>AVERAGE(IF(C2="Very Confident",4,IF(C2="Confident",3,IF(C2="Neutral",2,IF(OR(C2="Need More Knowledge",C2="Not Confident"),1,0)))),IF(D2="Very Confident",4,IF(D2="Confident",3,IF(D2="Neutral",2,IF(OR(D2="Need More Knowledge",D2="Not Confident"),1,0)))),IF(E2="Very Confident",4,IF(E2="Confident",3,IF(E2="Neutral",2,IF(OR(E2="Need More Knowledge",E2="Not Confident"),1,0)))),IF(F2="Very Confident",4,IF(F2="Confident",3,IF(F2="Neutral",2,IF(OR(F2="Need More Knowledge",F2="Not Confident"),1,0)))),IF(G2="Very Confident",4,IF(G2="Confident",3,IF(G2="Neutral",2,IF(OR(G2="Need More Knowledge",G2="Not Confident"),1,0)))),IF(H2="Very Confident",4,IF(H2="Confident",3,IF(H2="Neutral",2,IF(OR(H2="Need More Knowledge",H2="Not Confident"),1,0)))),IF(I2="Very Confident",4,IF(I2="Confident",3,IF(I2="Neutral",2,IF(OR(I2="Need More Knowledge",I2="Not Confident"),1,0)))),IF(J2="Very Confident",4,IF(J2="Confident",3,IF(J2="Neutral",2,IF(OR(J2="Need More Knowledge",J2="Not Confident"),1,0)))),IF(K2="Very Confident",4,IF(K2="Confident",3,IF(K2="Neutral",2,IF(OR(K2="Need More Knowledge",K2="Not Confident"),1,0)))),IF(L2="Very Confident",4,IF(L2="Confident",3,IF(L2="Neutral",2,IF(OR(L2="Need More Knowledge",L2="Not Confident"),1,0)))),IF(M2="Very Confident",4,IF(M2="Confident",3,IF(M2="Neutral",2,IF(OR(M2="Need More Knowledge",M2="Not Confident"),1,0)))))</calculatedColumnFormula>
    </tableColumn>
    <tableColumn id="15" xr3:uid="{4AC2C1A0-1344-4EC1-BF8E-9EB2286C49F2}" name="Number of Gap Modules" dataDxfId="9">
      <calculatedColumnFormula>SUM(IF(OR(C2="Neutral",C2="Need More Knowledge",C2="Not Confident"),1,0),IF(OR(D2="Neutral",D2="Need More Knowledge",D2="Not Confident"),1,0),IF(OR(E2="Neutral",E2="Need More Knowledge",E2="Not Confident"),1,0),IF(OR(F2="Neutral",F2="Need More Knowledge",F2="Not Confident"),1,0),IF(OR(G2="Neutral",G2="Need More Knowledge",G2="Not Confident"),1,0),IF(OR(H2="Neutral",H2="Need More Knowledge",H2="Not Confident"),1,0),IF(OR(I2="Neutral",I2="Need More Knowledge",I2="Not Confident"),1,0),IF(OR(J2="Neutral",J2="Need More Knowledge",J2="Not Confident"),1,0),IF(OR(K2="Neutral",K2="Need More Knowledge",K2="Not Confident"),1,0),IF(OR(L2="Neutral",L2="Need More Knowledge",L2="Not Confident"),1,0),IF(OR(M2="Neutral",M2="Need More Knowledge",M2="Not Confident"),1,0))</calculatedColumnFormula>
    </tableColumn>
    <tableColumn id="16" xr3:uid="{1C163F16-C912-43E5-860A-7A09A8731191}" name="Gap %" dataDxfId="8">
      <calculatedColumnFormula>O2/11</calculatedColumnFormula>
    </tableColumn>
    <tableColumn id="17" xr3:uid="{EB5EA24F-B281-4A0D-AC32-915C8077C6EB}" name="Overall Flag" dataDxfId="7">
      <calculatedColumnFormula>IF(P2&gt;=0.4,"High Gap",IF(P2&gt;=0.2,"Moderate Gap","Low Gap"))</calculatedColumnFormula>
    </tableColumn>
  </tableColumns>
  <tableStyleInfo name="TableStyleLight1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39F7F83-B71D-4F58-9279-DAF195C76C64}" name="Table13" displayName="Table13" ref="A1:C8" totalsRowShown="0" headerRowDxfId="6" headerRowBorderDxfId="5" tableBorderDxfId="4" totalsRowBorderDxfId="3">
  <autoFilter ref="A1:C8" xr:uid="{00000000-0009-0000-0000-000005000000}"/>
  <tableColumns count="3">
    <tableColumn id="1" xr3:uid="{1FB9E4A2-77B2-4430-8640-B4E9471E9A1C}" name="Resource" dataDxfId="2"/>
    <tableColumn id="2" xr3:uid="{1245870F-8DD1-439E-81E0-1BA667FC0782}" name="Responses Using Resource" dataDxfId="1"/>
    <tableColumn id="3" xr3:uid="{B76569FC-5C64-41A5-90B3-B182347CBC0B}" name="% of Respondents" dataDxfId="0">
      <calculatedColumnFormula>B2/COUNTA('Raw Data'!$L$2:$L$30)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abSelected="1" topLeftCell="A4" workbookViewId="0">
      <selection activeCell="D9" sqref="D9"/>
    </sheetView>
  </sheetViews>
  <sheetFormatPr defaultRowHeight="14.5" x14ac:dyDescent="0.35"/>
  <cols>
    <col min="1" max="1" width="24.7265625" customWidth="1"/>
    <col min="2" max="2" width="51.7265625" customWidth="1"/>
    <col min="3" max="3" width="31.7265625" customWidth="1"/>
    <col min="4" max="4" width="50.81640625" customWidth="1"/>
  </cols>
  <sheetData>
    <row r="1" spans="1:6" ht="28.5" customHeight="1" x14ac:dyDescent="0.35">
      <c r="A1" s="61" t="s">
        <v>9</v>
      </c>
      <c r="B1" s="61"/>
      <c r="C1" s="6"/>
      <c r="D1" s="1"/>
      <c r="E1" s="1"/>
      <c r="F1" s="1"/>
    </row>
    <row r="2" spans="1:6" ht="33" customHeight="1" x14ac:dyDescent="0.35">
      <c r="A2" s="19" t="s">
        <v>10</v>
      </c>
      <c r="B2" s="20" t="s">
        <v>11</v>
      </c>
      <c r="C2" s="1"/>
      <c r="D2" s="1"/>
      <c r="E2" s="1"/>
      <c r="F2" s="1"/>
    </row>
    <row r="3" spans="1:6" ht="29.15" customHeight="1" x14ac:dyDescent="0.35">
      <c r="A3" s="9" t="s">
        <v>12</v>
      </c>
      <c r="B3" s="10" t="s">
        <v>13</v>
      </c>
      <c r="C3" s="1"/>
      <c r="D3" s="1"/>
      <c r="E3" s="1"/>
      <c r="F3" s="1"/>
    </row>
    <row r="4" spans="1:6" ht="33" customHeight="1" x14ac:dyDescent="0.35">
      <c r="A4" s="9" t="s">
        <v>14</v>
      </c>
      <c r="B4" s="10" t="s">
        <v>15</v>
      </c>
      <c r="C4" s="1"/>
      <c r="D4" s="1"/>
      <c r="E4" s="1"/>
      <c r="F4" s="1"/>
    </row>
    <row r="5" spans="1:6" ht="14.5" customHeight="1" x14ac:dyDescent="0.35">
      <c r="A5" s="11" t="s">
        <v>16</v>
      </c>
      <c r="B5" s="12" t="s">
        <v>17</v>
      </c>
      <c r="C5" s="1"/>
      <c r="D5" s="1"/>
      <c r="E5" s="1"/>
      <c r="F5" s="1"/>
    </row>
    <row r="6" spans="1:6" x14ac:dyDescent="0.35">
      <c r="A6" s="1"/>
      <c r="B6" s="1"/>
      <c r="C6" s="1"/>
      <c r="D6" s="1"/>
      <c r="E6" s="1"/>
      <c r="F6" s="1"/>
    </row>
    <row r="7" spans="1:6" ht="23.15" customHeight="1" x14ac:dyDescent="0.35">
      <c r="A7" s="60" t="s">
        <v>18</v>
      </c>
      <c r="B7" s="60"/>
      <c r="C7" s="60"/>
      <c r="D7" s="4"/>
      <c r="E7" s="4"/>
      <c r="F7" s="4"/>
    </row>
    <row r="8" spans="1:6" ht="15.65" customHeight="1" x14ac:dyDescent="0.35">
      <c r="A8" s="62" t="s">
        <v>19</v>
      </c>
      <c r="B8" s="62" t="s">
        <v>20</v>
      </c>
      <c r="C8" s="15" t="s">
        <v>21</v>
      </c>
      <c r="D8" s="1"/>
      <c r="E8" s="1"/>
      <c r="F8" s="1"/>
    </row>
    <row r="9" spans="1:6" ht="17.5" customHeight="1" x14ac:dyDescent="0.35">
      <c r="A9" s="63"/>
      <c r="B9" s="63"/>
      <c r="C9" s="15" t="s">
        <v>22</v>
      </c>
      <c r="D9" s="1"/>
      <c r="E9" s="1"/>
      <c r="F9" s="1"/>
    </row>
    <row r="10" spans="1:6" ht="18" customHeight="1" x14ac:dyDescent="0.35">
      <c r="A10" s="64"/>
      <c r="B10" s="64"/>
      <c r="C10" s="15" t="s">
        <v>23</v>
      </c>
      <c r="D10" s="1"/>
      <c r="E10" s="1"/>
      <c r="F10" s="1"/>
    </row>
    <row r="11" spans="1:6" ht="17.5" customHeight="1" x14ac:dyDescent="0.35">
      <c r="A11" s="65" t="s">
        <v>24</v>
      </c>
      <c r="B11" s="65" t="s">
        <v>25</v>
      </c>
      <c r="C11" s="16" t="s">
        <v>23</v>
      </c>
      <c r="D11" s="1"/>
      <c r="E11" s="1"/>
      <c r="F11" s="1"/>
    </row>
    <row r="12" spans="1:6" ht="18" customHeight="1" x14ac:dyDescent="0.35">
      <c r="A12" s="66"/>
      <c r="B12" s="66"/>
      <c r="C12" s="16" t="s">
        <v>26</v>
      </c>
      <c r="D12" s="1"/>
      <c r="E12" s="1"/>
      <c r="F12" s="1"/>
    </row>
    <row r="13" spans="1:6" ht="18" customHeight="1" x14ac:dyDescent="0.35">
      <c r="A13" s="67"/>
      <c r="B13" s="67"/>
      <c r="C13" s="16" t="s">
        <v>27</v>
      </c>
      <c r="D13" s="1"/>
      <c r="E13" s="1"/>
      <c r="F13" s="1"/>
    </row>
    <row r="14" spans="1:6" ht="54.65" customHeight="1" x14ac:dyDescent="0.35">
      <c r="A14" s="17" t="s">
        <v>28</v>
      </c>
      <c r="B14" s="17" t="s">
        <v>29</v>
      </c>
      <c r="C14" s="15" t="s">
        <v>30</v>
      </c>
      <c r="D14" s="1"/>
      <c r="E14" s="1"/>
      <c r="F14" s="1"/>
    </row>
    <row r="15" spans="1:6" ht="63.65" customHeight="1" x14ac:dyDescent="0.35">
      <c r="A15" s="18" t="s">
        <v>31</v>
      </c>
      <c r="B15" s="18" t="s">
        <v>32</v>
      </c>
      <c r="C15" s="16" t="s">
        <v>33</v>
      </c>
      <c r="D15" s="1"/>
      <c r="E15" s="1"/>
      <c r="F15" s="1"/>
    </row>
    <row r="16" spans="1:6" ht="59.15" customHeight="1" x14ac:dyDescent="0.35">
      <c r="A16" s="17" t="s">
        <v>34</v>
      </c>
      <c r="B16" s="17" t="s">
        <v>35</v>
      </c>
      <c r="C16" s="15" t="s">
        <v>36</v>
      </c>
      <c r="D16" s="1"/>
      <c r="E16" s="1"/>
      <c r="F16" s="1"/>
    </row>
    <row r="17" spans="1:6" x14ac:dyDescent="0.35">
      <c r="A17" s="1"/>
      <c r="B17" s="1"/>
      <c r="C17" s="1"/>
      <c r="D17" s="1"/>
      <c r="E17" s="1"/>
      <c r="F17" s="1"/>
    </row>
    <row r="18" spans="1:6" x14ac:dyDescent="0.35">
      <c r="A18" s="1"/>
      <c r="B18" s="1"/>
      <c r="C18" s="1"/>
      <c r="D18" s="1"/>
      <c r="E18" s="1"/>
      <c r="F18" s="1"/>
    </row>
    <row r="19" spans="1:6" ht="19.5" customHeight="1" x14ac:dyDescent="0.35">
      <c r="A19" s="60" t="s">
        <v>37</v>
      </c>
      <c r="B19" s="60"/>
      <c r="C19" s="60"/>
      <c r="D19" s="60"/>
      <c r="E19" s="1"/>
      <c r="F19" s="1"/>
    </row>
    <row r="20" spans="1:6" x14ac:dyDescent="0.35">
      <c r="A20" s="21" t="s">
        <v>38</v>
      </c>
      <c r="B20" s="22" t="s">
        <v>39</v>
      </c>
      <c r="C20" s="22" t="s">
        <v>1</v>
      </c>
      <c r="D20" s="23" t="s">
        <v>40</v>
      </c>
      <c r="E20" s="1"/>
      <c r="F20" s="1"/>
    </row>
    <row r="21" spans="1:6" x14ac:dyDescent="0.35">
      <c r="A21" s="8">
        <v>1</v>
      </c>
      <c r="B21" s="5" t="s">
        <v>41</v>
      </c>
      <c r="C21" s="7" t="s">
        <v>42</v>
      </c>
      <c r="D21" s="10" t="s">
        <v>43</v>
      </c>
      <c r="E21" s="1"/>
      <c r="F21" s="1"/>
    </row>
    <row r="22" spans="1:6" ht="17.5" customHeight="1" x14ac:dyDescent="0.35">
      <c r="A22" s="8">
        <v>2</v>
      </c>
      <c r="B22" s="5" t="s">
        <v>44</v>
      </c>
      <c r="C22" s="7" t="s">
        <v>42</v>
      </c>
      <c r="D22" s="10" t="s">
        <v>45</v>
      </c>
      <c r="E22" s="1"/>
      <c r="F22" s="1"/>
    </row>
    <row r="23" spans="1:6" ht="18.649999999999999" customHeight="1" x14ac:dyDescent="0.35">
      <c r="A23" s="8">
        <v>3</v>
      </c>
      <c r="B23" s="5" t="s">
        <v>46</v>
      </c>
      <c r="C23" s="7" t="s">
        <v>47</v>
      </c>
      <c r="D23" s="10" t="s">
        <v>48</v>
      </c>
      <c r="E23" s="1"/>
      <c r="F23" s="1"/>
    </row>
    <row r="24" spans="1:6" ht="29" x14ac:dyDescent="0.35">
      <c r="A24" s="8">
        <v>4</v>
      </c>
      <c r="B24" s="5" t="s">
        <v>49</v>
      </c>
      <c r="C24" s="7" t="s">
        <v>47</v>
      </c>
      <c r="D24" s="10" t="s">
        <v>50</v>
      </c>
      <c r="E24" s="1"/>
      <c r="F24" s="1"/>
    </row>
    <row r="25" spans="1:6" ht="14.5" customHeight="1" x14ac:dyDescent="0.35">
      <c r="A25" s="8">
        <v>5</v>
      </c>
      <c r="B25" s="5" t="s">
        <v>51</v>
      </c>
      <c r="C25" s="7" t="s">
        <v>47</v>
      </c>
      <c r="D25" s="10" t="s">
        <v>52</v>
      </c>
      <c r="E25" s="1"/>
      <c r="F25" s="1"/>
    </row>
    <row r="26" spans="1:6" ht="29" x14ac:dyDescent="0.35">
      <c r="A26" s="8">
        <v>6</v>
      </c>
      <c r="B26" s="5" t="s">
        <v>53</v>
      </c>
      <c r="C26" s="7" t="s">
        <v>54</v>
      </c>
      <c r="D26" s="10" t="s">
        <v>55</v>
      </c>
      <c r="E26" s="1"/>
      <c r="F26" s="1"/>
    </row>
    <row r="27" spans="1:6" ht="29" x14ac:dyDescent="0.35">
      <c r="A27" s="25">
        <v>7</v>
      </c>
      <c r="B27" s="24" t="s">
        <v>56</v>
      </c>
      <c r="C27" s="26" t="s">
        <v>54</v>
      </c>
      <c r="D27" s="12" t="s">
        <v>57</v>
      </c>
      <c r="E27" s="1"/>
      <c r="F27" s="1"/>
    </row>
  </sheetData>
  <mergeCells count="7">
    <mergeCell ref="A7:C7"/>
    <mergeCell ref="A19:D19"/>
    <mergeCell ref="A1:B1"/>
    <mergeCell ref="B8:B10"/>
    <mergeCell ref="A8:A10"/>
    <mergeCell ref="B11:B13"/>
    <mergeCell ref="A11:A13"/>
  </mergeCells>
  <pageMargins left="0.75" right="0.75" top="1" bottom="1" header="0.5" footer="0.5"/>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5B2B8-CF13-488C-8D84-3E6BD206F154}">
  <dimension ref="A1:J7"/>
  <sheetViews>
    <sheetView workbookViewId="0">
      <selection activeCell="B6" sqref="B6"/>
    </sheetView>
  </sheetViews>
  <sheetFormatPr defaultRowHeight="14.5" x14ac:dyDescent="0.35"/>
  <cols>
    <col min="1" max="1" width="9.1796875" style="52"/>
    <col min="2" max="2" width="40.7265625" bestFit="1" customWidth="1"/>
    <col min="3" max="3" width="20" customWidth="1"/>
    <col min="4" max="4" width="29.453125" bestFit="1" customWidth="1"/>
  </cols>
  <sheetData>
    <row r="1" spans="1:10" x14ac:dyDescent="0.35">
      <c r="A1" s="59" t="s">
        <v>0</v>
      </c>
      <c r="B1" s="59"/>
      <c r="C1" s="59"/>
      <c r="D1" s="59"/>
      <c r="E1" s="59"/>
      <c r="F1" s="59"/>
      <c r="G1" s="59"/>
      <c r="H1" s="59"/>
      <c r="I1" s="59"/>
      <c r="J1" s="59"/>
    </row>
    <row r="2" spans="1:10" x14ac:dyDescent="0.35">
      <c r="A2" s="59"/>
      <c r="B2" s="59"/>
      <c r="C2" s="59"/>
      <c r="D2" s="59"/>
      <c r="E2" s="59"/>
      <c r="F2" s="59"/>
      <c r="G2" s="59"/>
      <c r="H2" s="59"/>
      <c r="I2" s="59"/>
      <c r="J2" s="59"/>
    </row>
    <row r="3" spans="1:10" x14ac:dyDescent="0.35">
      <c r="A3" s="59"/>
      <c r="B3" s="59"/>
      <c r="C3" s="59"/>
      <c r="D3" s="59"/>
      <c r="E3" s="59"/>
      <c r="F3" s="59"/>
      <c r="G3" s="59"/>
      <c r="H3" s="59"/>
      <c r="I3" s="59"/>
      <c r="J3" s="59"/>
    </row>
    <row r="4" spans="1:10" s="52" customFormat="1" x14ac:dyDescent="0.35">
      <c r="A4" s="53" t="s">
        <v>1</v>
      </c>
      <c r="B4" s="53" t="s">
        <v>2</v>
      </c>
      <c r="C4" s="53" t="s">
        <v>3</v>
      </c>
      <c r="D4" s="53" t="s">
        <v>4</v>
      </c>
    </row>
    <row r="5" spans="1:10" x14ac:dyDescent="0.35">
      <c r="A5" s="52">
        <v>1</v>
      </c>
      <c r="B5" t="s">
        <v>5</v>
      </c>
    </row>
    <row r="6" spans="1:10" x14ac:dyDescent="0.35">
      <c r="A6" s="52">
        <v>2</v>
      </c>
      <c r="B6" t="s">
        <v>6</v>
      </c>
      <c r="C6" t="s">
        <v>7</v>
      </c>
      <c r="D6" t="s">
        <v>8</v>
      </c>
    </row>
    <row r="7" spans="1:10" x14ac:dyDescent="0.35">
      <c r="A7" s="52">
        <v>3</v>
      </c>
    </row>
  </sheetData>
  <mergeCells count="1">
    <mergeCell ref="A1:J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9"/>
  <sheetViews>
    <sheetView workbookViewId="0">
      <pane ySplit="1" topLeftCell="A2" activePane="bottomLeft" state="frozen"/>
      <selection pane="bottomLeft" activeCell="D6" sqref="D6"/>
    </sheetView>
  </sheetViews>
  <sheetFormatPr defaultRowHeight="14.5" x14ac:dyDescent="0.35"/>
  <cols>
    <col min="1" max="1" width="28" customWidth="1"/>
    <col min="2" max="2" width="37.453125" customWidth="1"/>
    <col min="3" max="3" width="30.54296875" customWidth="1"/>
    <col min="4" max="4" width="31.1796875" customWidth="1"/>
    <col min="5" max="5" width="28.453125" customWidth="1"/>
  </cols>
  <sheetData>
    <row r="1" spans="1:5" x14ac:dyDescent="0.35">
      <c r="A1" s="33" t="s">
        <v>58</v>
      </c>
      <c r="B1" s="34" t="s">
        <v>59</v>
      </c>
      <c r="C1" s="34" t="s">
        <v>60</v>
      </c>
      <c r="D1" s="34" t="s">
        <v>61</v>
      </c>
      <c r="E1" s="35" t="s">
        <v>62</v>
      </c>
    </row>
    <row r="2" spans="1:5" ht="45" customHeight="1" x14ac:dyDescent="0.35">
      <c r="A2" s="9" t="s">
        <v>29</v>
      </c>
      <c r="B2" s="5" t="s">
        <v>63</v>
      </c>
      <c r="C2" s="5" t="s">
        <v>64</v>
      </c>
      <c r="D2" s="5" t="s">
        <v>65</v>
      </c>
      <c r="E2" s="10" t="s">
        <v>66</v>
      </c>
    </row>
    <row r="3" spans="1:5" ht="45.65" customHeight="1" x14ac:dyDescent="0.35">
      <c r="A3" s="9" t="s">
        <v>67</v>
      </c>
      <c r="B3" s="5" t="s">
        <v>68</v>
      </c>
      <c r="C3" s="5" t="s">
        <v>69</v>
      </c>
      <c r="D3" s="5" t="s">
        <v>70</v>
      </c>
      <c r="E3" s="10" t="s">
        <v>71</v>
      </c>
    </row>
    <row r="4" spans="1:5" ht="43" customHeight="1" x14ac:dyDescent="0.35">
      <c r="A4" s="9" t="s">
        <v>72</v>
      </c>
      <c r="B4" s="5" t="s">
        <v>73</v>
      </c>
      <c r="C4" s="5" t="s">
        <v>74</v>
      </c>
      <c r="D4" s="5" t="s">
        <v>75</v>
      </c>
      <c r="E4" s="10" t="s">
        <v>76</v>
      </c>
    </row>
    <row r="5" spans="1:5" ht="29" x14ac:dyDescent="0.35">
      <c r="A5" s="9" t="s">
        <v>41</v>
      </c>
      <c r="B5" s="5" t="s">
        <v>77</v>
      </c>
      <c r="C5" s="5" t="s">
        <v>78</v>
      </c>
      <c r="D5" s="5" t="s">
        <v>79</v>
      </c>
      <c r="E5" s="10" t="s">
        <v>80</v>
      </c>
    </row>
    <row r="6" spans="1:5" ht="43.5" x14ac:dyDescent="0.35">
      <c r="A6" s="9" t="s">
        <v>81</v>
      </c>
      <c r="B6" s="5" t="s">
        <v>82</v>
      </c>
      <c r="C6" s="5" t="s">
        <v>83</v>
      </c>
      <c r="D6" s="5" t="s">
        <v>84</v>
      </c>
      <c r="E6" s="10" t="s">
        <v>66</v>
      </c>
    </row>
    <row r="7" spans="1:5" ht="31.5" customHeight="1" x14ac:dyDescent="0.35">
      <c r="A7" s="9" t="s">
        <v>85</v>
      </c>
      <c r="B7" s="5" t="s">
        <v>86</v>
      </c>
      <c r="C7" s="5" t="s">
        <v>87</v>
      </c>
      <c r="D7" s="5" t="s">
        <v>88</v>
      </c>
      <c r="E7" s="10" t="s">
        <v>66</v>
      </c>
    </row>
    <row r="8" spans="1:5" ht="32.5" customHeight="1" x14ac:dyDescent="0.35">
      <c r="A8" s="9" t="s">
        <v>89</v>
      </c>
      <c r="B8" s="5" t="s">
        <v>90</v>
      </c>
      <c r="C8" s="5" t="s">
        <v>91</v>
      </c>
      <c r="D8" s="5" t="s">
        <v>92</v>
      </c>
      <c r="E8" s="10" t="s">
        <v>93</v>
      </c>
    </row>
    <row r="9" spans="1:5" ht="48" customHeight="1" x14ac:dyDescent="0.35">
      <c r="A9" s="11" t="s">
        <v>94</v>
      </c>
      <c r="B9" s="24" t="s">
        <v>95</v>
      </c>
      <c r="C9" s="24" t="s">
        <v>96</v>
      </c>
      <c r="D9" s="24" t="s">
        <v>97</v>
      </c>
      <c r="E9" s="12" t="s">
        <v>98</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Y30"/>
  <sheetViews>
    <sheetView workbookViewId="0">
      <pane ySplit="1" topLeftCell="A22" activePane="bottomLeft" state="frozen"/>
      <selection pane="bottomLeft" sqref="A1:XFD1048576"/>
    </sheetView>
  </sheetViews>
  <sheetFormatPr defaultColWidth="9.1796875" defaultRowHeight="77" customHeight="1" x14ac:dyDescent="0.35"/>
  <cols>
    <col min="1" max="1" width="21.26953125" style="50" bestFit="1" customWidth="1"/>
    <col min="2" max="2" width="20" style="50" customWidth="1"/>
    <col min="3" max="7" width="40" style="50" customWidth="1"/>
    <col min="8" max="8" width="25" style="50" customWidth="1"/>
    <col min="9" max="10" width="40" style="50" customWidth="1"/>
    <col min="11" max="11" width="22" style="50" customWidth="1"/>
    <col min="12" max="14" width="40" style="50" customWidth="1"/>
    <col min="15" max="15" width="19" style="50" customWidth="1"/>
    <col min="16" max="16" width="24" style="50" customWidth="1"/>
    <col min="17" max="17" width="14" style="50" customWidth="1"/>
    <col min="18" max="18" width="23" style="50" customWidth="1"/>
    <col min="19" max="19" width="24" style="50" customWidth="1"/>
    <col min="20" max="20" width="14" style="50" customWidth="1"/>
    <col min="21" max="21" width="25" style="50" customWidth="1"/>
    <col min="22" max="22" width="26" style="50" customWidth="1"/>
    <col min="23" max="23" width="17" style="50" customWidth="1"/>
    <col min="24" max="25" width="14" style="50" customWidth="1"/>
    <col min="26" max="16384" width="9.1796875" style="50"/>
  </cols>
  <sheetData>
    <row r="1" spans="1:25" ht="77" customHeight="1" x14ac:dyDescent="0.35">
      <c r="A1" s="49" t="s">
        <v>99</v>
      </c>
      <c r="B1" s="49" t="s">
        <v>100</v>
      </c>
      <c r="C1" s="49" t="s">
        <v>101</v>
      </c>
      <c r="D1" s="49" t="s">
        <v>102</v>
      </c>
      <c r="E1" s="49" t="s">
        <v>103</v>
      </c>
      <c r="F1" s="49" t="s">
        <v>104</v>
      </c>
      <c r="G1" s="49" t="s">
        <v>105</v>
      </c>
      <c r="H1" s="49" t="s">
        <v>106</v>
      </c>
      <c r="I1" s="49" t="s">
        <v>107</v>
      </c>
      <c r="J1" s="49" t="s">
        <v>108</v>
      </c>
      <c r="K1" s="49" t="s">
        <v>109</v>
      </c>
      <c r="L1" s="49" t="s">
        <v>110</v>
      </c>
      <c r="M1" s="49" t="s">
        <v>111</v>
      </c>
      <c r="N1" s="49" t="s">
        <v>112</v>
      </c>
      <c r="O1" s="49" t="s">
        <v>113</v>
      </c>
      <c r="P1" s="49" t="s">
        <v>114</v>
      </c>
      <c r="Q1" s="49" t="s">
        <v>115</v>
      </c>
      <c r="R1" s="49" t="s">
        <v>116</v>
      </c>
      <c r="S1" s="49" t="s">
        <v>117</v>
      </c>
      <c r="T1" s="49" t="s">
        <v>118</v>
      </c>
      <c r="U1" s="49" t="s">
        <v>29</v>
      </c>
      <c r="V1" s="49" t="s">
        <v>119</v>
      </c>
      <c r="W1" s="49" t="s">
        <v>120</v>
      </c>
      <c r="X1" s="49" t="s">
        <v>20</v>
      </c>
      <c r="Y1" s="49" t="s">
        <v>25</v>
      </c>
    </row>
    <row r="2" spans="1:25" ht="77" customHeight="1" x14ac:dyDescent="0.35">
      <c r="A2" s="50" t="s">
        <v>121</v>
      </c>
      <c r="C2" s="50" t="s">
        <v>122</v>
      </c>
      <c r="D2" s="50" t="s">
        <v>123</v>
      </c>
      <c r="E2" s="50" t="s">
        <v>29</v>
      </c>
      <c r="F2" s="50" t="s">
        <v>124</v>
      </c>
      <c r="G2" s="50" t="s">
        <v>125</v>
      </c>
      <c r="I2" s="50" t="s">
        <v>126</v>
      </c>
      <c r="J2" s="50" t="s">
        <v>127</v>
      </c>
      <c r="K2" s="50" t="s">
        <v>128</v>
      </c>
      <c r="L2" s="50" t="s">
        <v>129</v>
      </c>
      <c r="O2" s="50" t="s">
        <v>130</v>
      </c>
      <c r="P2" s="50" t="s">
        <v>130</v>
      </c>
      <c r="Q2" s="50" t="s">
        <v>130</v>
      </c>
      <c r="R2" s="50" t="s">
        <v>130</v>
      </c>
      <c r="S2" s="50" t="s">
        <v>130</v>
      </c>
      <c r="T2" s="50" t="s">
        <v>130</v>
      </c>
      <c r="U2" s="50" t="s">
        <v>130</v>
      </c>
      <c r="V2" s="50" t="s">
        <v>130</v>
      </c>
      <c r="W2" s="50" t="s">
        <v>130</v>
      </c>
      <c r="X2" s="50" t="s">
        <v>131</v>
      </c>
      <c r="Y2" s="50" t="s">
        <v>131</v>
      </c>
    </row>
    <row r="3" spans="1:25" ht="77" customHeight="1" x14ac:dyDescent="0.35">
      <c r="A3" s="50" t="s">
        <v>132</v>
      </c>
      <c r="C3" s="50" t="s">
        <v>133</v>
      </c>
      <c r="D3" s="50" t="s">
        <v>134</v>
      </c>
      <c r="E3" s="50" t="s">
        <v>135</v>
      </c>
      <c r="F3" s="50" t="s">
        <v>136</v>
      </c>
      <c r="G3" s="50" t="s">
        <v>125</v>
      </c>
      <c r="I3" s="50" t="s">
        <v>137</v>
      </c>
      <c r="J3" s="50" t="s">
        <v>127</v>
      </c>
      <c r="K3" s="50" t="s">
        <v>138</v>
      </c>
      <c r="L3" s="50" t="s">
        <v>139</v>
      </c>
      <c r="M3" s="50" t="s">
        <v>140</v>
      </c>
      <c r="N3" s="50" t="s">
        <v>141</v>
      </c>
      <c r="O3" s="50" t="s">
        <v>130</v>
      </c>
      <c r="P3" s="50" t="s">
        <v>130</v>
      </c>
      <c r="Q3" s="50" t="s">
        <v>130</v>
      </c>
      <c r="R3" s="50" t="s">
        <v>130</v>
      </c>
      <c r="S3" s="50" t="s">
        <v>130</v>
      </c>
      <c r="T3" s="50" t="s">
        <v>130</v>
      </c>
      <c r="U3" s="50" t="s">
        <v>130</v>
      </c>
      <c r="V3" s="50" t="s">
        <v>142</v>
      </c>
      <c r="W3" s="50" t="s">
        <v>142</v>
      </c>
      <c r="X3" s="50" t="s">
        <v>131</v>
      </c>
      <c r="Y3" s="50" t="s">
        <v>131</v>
      </c>
    </row>
    <row r="4" spans="1:25" ht="77" customHeight="1" x14ac:dyDescent="0.35">
      <c r="A4" s="50" t="s">
        <v>143</v>
      </c>
      <c r="C4" s="50" t="s">
        <v>133</v>
      </c>
      <c r="D4" s="50" t="s">
        <v>144</v>
      </c>
      <c r="E4" s="50" t="s">
        <v>29</v>
      </c>
      <c r="G4" s="50" t="s">
        <v>125</v>
      </c>
      <c r="I4" s="50" t="s">
        <v>145</v>
      </c>
      <c r="J4" s="50" t="s">
        <v>125</v>
      </c>
      <c r="L4" s="50" t="s">
        <v>146</v>
      </c>
      <c r="M4" s="50" t="s">
        <v>147</v>
      </c>
      <c r="N4" s="50" t="s">
        <v>148</v>
      </c>
      <c r="O4" s="50" t="s">
        <v>130</v>
      </c>
      <c r="P4" s="50" t="s">
        <v>130</v>
      </c>
      <c r="Q4" s="50" t="s">
        <v>130</v>
      </c>
      <c r="R4" s="50" t="s">
        <v>130</v>
      </c>
      <c r="S4" s="50" t="s">
        <v>130</v>
      </c>
      <c r="T4" s="50" t="s">
        <v>130</v>
      </c>
      <c r="U4" s="50" t="s">
        <v>130</v>
      </c>
      <c r="V4" s="50" t="s">
        <v>130</v>
      </c>
      <c r="W4" s="50" t="s">
        <v>130</v>
      </c>
      <c r="X4" s="50" t="s">
        <v>149</v>
      </c>
      <c r="Y4" s="50" t="s">
        <v>149</v>
      </c>
    </row>
    <row r="5" spans="1:25" ht="77" customHeight="1" x14ac:dyDescent="0.35">
      <c r="A5" s="50" t="s">
        <v>150</v>
      </c>
      <c r="C5" s="50" t="s">
        <v>133</v>
      </c>
      <c r="D5" s="50" t="s">
        <v>151</v>
      </c>
      <c r="E5" s="50" t="s">
        <v>152</v>
      </c>
      <c r="F5" s="50" t="s">
        <v>153</v>
      </c>
      <c r="G5" s="50" t="s">
        <v>125</v>
      </c>
      <c r="I5" s="50" t="s">
        <v>154</v>
      </c>
      <c r="J5" s="50" t="s">
        <v>127</v>
      </c>
      <c r="K5" s="51" t="s">
        <v>155</v>
      </c>
      <c r="L5" s="50" t="s">
        <v>156</v>
      </c>
      <c r="M5" s="50" t="s">
        <v>157</v>
      </c>
      <c r="N5" s="50" t="s">
        <v>158</v>
      </c>
      <c r="O5" s="50" t="s">
        <v>130</v>
      </c>
      <c r="P5" s="50" t="s">
        <v>130</v>
      </c>
      <c r="Q5" s="50" t="s">
        <v>130</v>
      </c>
      <c r="R5" s="50" t="s">
        <v>130</v>
      </c>
      <c r="S5" s="50" t="s">
        <v>130</v>
      </c>
      <c r="T5" s="50" t="s">
        <v>131</v>
      </c>
      <c r="U5" s="50" t="s">
        <v>131</v>
      </c>
      <c r="V5" s="50" t="s">
        <v>130</v>
      </c>
      <c r="W5" s="50" t="s">
        <v>130</v>
      </c>
      <c r="X5" s="50" t="s">
        <v>159</v>
      </c>
      <c r="Y5" s="50" t="s">
        <v>159</v>
      </c>
    </row>
    <row r="6" spans="1:25" ht="77" customHeight="1" x14ac:dyDescent="0.35">
      <c r="A6" s="50" t="s">
        <v>160</v>
      </c>
      <c r="C6" s="50" t="s">
        <v>133</v>
      </c>
      <c r="D6" s="50" t="s">
        <v>161</v>
      </c>
      <c r="E6" s="50" t="s">
        <v>29</v>
      </c>
      <c r="F6" s="50" t="s">
        <v>162</v>
      </c>
      <c r="G6" s="50" t="s">
        <v>125</v>
      </c>
      <c r="I6" s="50" t="s">
        <v>29</v>
      </c>
      <c r="J6" s="50" t="s">
        <v>127</v>
      </c>
      <c r="K6" s="51" t="s">
        <v>163</v>
      </c>
      <c r="L6" s="50" t="s">
        <v>164</v>
      </c>
      <c r="N6" s="50" t="s">
        <v>165</v>
      </c>
      <c r="O6" s="50" t="s">
        <v>130</v>
      </c>
      <c r="P6" s="50" t="s">
        <v>130</v>
      </c>
      <c r="Q6" s="50" t="s">
        <v>130</v>
      </c>
      <c r="R6" s="50" t="s">
        <v>142</v>
      </c>
      <c r="S6" s="50" t="s">
        <v>131</v>
      </c>
      <c r="T6" s="50" t="s">
        <v>142</v>
      </c>
      <c r="U6" s="50" t="s">
        <v>149</v>
      </c>
      <c r="V6" s="50" t="s">
        <v>149</v>
      </c>
      <c r="W6" s="50" t="s">
        <v>131</v>
      </c>
      <c r="X6" s="50" t="s">
        <v>159</v>
      </c>
      <c r="Y6" s="50" t="s">
        <v>159</v>
      </c>
    </row>
    <row r="7" spans="1:25" ht="77" customHeight="1" x14ac:dyDescent="0.35">
      <c r="A7" s="50" t="s">
        <v>166</v>
      </c>
      <c r="C7" s="50" t="s">
        <v>133</v>
      </c>
      <c r="D7" s="50" t="s">
        <v>167</v>
      </c>
      <c r="E7" s="50" t="s">
        <v>168</v>
      </c>
      <c r="F7" s="50" t="s">
        <v>169</v>
      </c>
      <c r="G7" s="50" t="s">
        <v>125</v>
      </c>
      <c r="I7" s="50" t="s">
        <v>170</v>
      </c>
      <c r="J7" s="50" t="s">
        <v>127</v>
      </c>
      <c r="K7" s="50" t="s">
        <v>171</v>
      </c>
      <c r="L7" s="50" t="s">
        <v>172</v>
      </c>
      <c r="M7" s="50" t="s">
        <v>173</v>
      </c>
      <c r="N7" s="50" t="s">
        <v>174</v>
      </c>
      <c r="O7" s="50" t="s">
        <v>142</v>
      </c>
      <c r="P7" s="50" t="s">
        <v>142</v>
      </c>
      <c r="Q7" s="50" t="s">
        <v>142</v>
      </c>
      <c r="R7" s="50" t="s">
        <v>142</v>
      </c>
      <c r="S7" s="50" t="s">
        <v>142</v>
      </c>
      <c r="T7" s="50" t="s">
        <v>142</v>
      </c>
      <c r="U7" s="50" t="s">
        <v>142</v>
      </c>
      <c r="V7" s="50" t="s">
        <v>142</v>
      </c>
      <c r="W7" s="50" t="s">
        <v>142</v>
      </c>
      <c r="X7" s="50" t="s">
        <v>149</v>
      </c>
      <c r="Y7" s="50" t="s">
        <v>149</v>
      </c>
    </row>
    <row r="8" spans="1:25" ht="43.5" hidden="1" x14ac:dyDescent="0.35">
      <c r="A8" s="50" t="s">
        <v>175</v>
      </c>
      <c r="C8" s="50" t="s">
        <v>122</v>
      </c>
      <c r="D8" s="50" t="s">
        <v>176</v>
      </c>
      <c r="E8" s="50" t="s">
        <v>29</v>
      </c>
      <c r="F8" s="50" t="s">
        <v>177</v>
      </c>
      <c r="G8" s="50" t="s">
        <v>125</v>
      </c>
      <c r="I8" s="50" t="s">
        <v>178</v>
      </c>
      <c r="J8" s="50" t="s">
        <v>125</v>
      </c>
      <c r="L8" s="50" t="s">
        <v>179</v>
      </c>
      <c r="M8" s="50" t="s">
        <v>180</v>
      </c>
      <c r="N8" s="50" t="s">
        <v>181</v>
      </c>
      <c r="O8" s="50" t="s">
        <v>130</v>
      </c>
      <c r="P8" s="50" t="s">
        <v>130</v>
      </c>
      <c r="Q8" s="50" t="s">
        <v>130</v>
      </c>
      <c r="R8" s="50" t="s">
        <v>130</v>
      </c>
      <c r="S8" s="50" t="s">
        <v>130</v>
      </c>
      <c r="T8" s="50" t="s">
        <v>130</v>
      </c>
      <c r="U8" s="50" t="s">
        <v>130</v>
      </c>
      <c r="V8" s="50" t="s">
        <v>130</v>
      </c>
      <c r="W8" s="50" t="s">
        <v>130</v>
      </c>
      <c r="X8" s="50" t="s">
        <v>131</v>
      </c>
      <c r="Y8" s="50" t="s">
        <v>131</v>
      </c>
    </row>
    <row r="9" spans="1:25" ht="77" customHeight="1" x14ac:dyDescent="0.35">
      <c r="A9" s="50" t="s">
        <v>182</v>
      </c>
      <c r="C9" s="50" t="s">
        <v>133</v>
      </c>
      <c r="D9" s="50" t="s">
        <v>183</v>
      </c>
      <c r="E9" s="50" t="s">
        <v>29</v>
      </c>
      <c r="F9" s="50" t="s">
        <v>118</v>
      </c>
      <c r="G9" s="50" t="s">
        <v>125</v>
      </c>
      <c r="I9" s="50" t="s">
        <v>29</v>
      </c>
      <c r="J9" s="50" t="s">
        <v>127</v>
      </c>
      <c r="K9" s="50" t="s">
        <v>184</v>
      </c>
      <c r="L9" s="50" t="s">
        <v>185</v>
      </c>
      <c r="M9" s="50" t="s">
        <v>186</v>
      </c>
      <c r="N9" s="50" t="s">
        <v>187</v>
      </c>
      <c r="O9" s="50" t="s">
        <v>130</v>
      </c>
      <c r="P9" s="50" t="s">
        <v>130</v>
      </c>
      <c r="Q9" s="50" t="s">
        <v>130</v>
      </c>
      <c r="R9" s="50" t="s">
        <v>131</v>
      </c>
      <c r="S9" s="50" t="s">
        <v>130</v>
      </c>
      <c r="T9" s="50" t="s">
        <v>130</v>
      </c>
      <c r="U9" s="50" t="s">
        <v>142</v>
      </c>
      <c r="V9" s="50" t="s">
        <v>142</v>
      </c>
      <c r="W9" s="50" t="s">
        <v>142</v>
      </c>
      <c r="X9" s="50" t="s">
        <v>149</v>
      </c>
      <c r="Y9" s="50" t="s">
        <v>149</v>
      </c>
    </row>
    <row r="10" spans="1:25" ht="77" customHeight="1" x14ac:dyDescent="0.35">
      <c r="A10" s="50" t="s">
        <v>188</v>
      </c>
      <c r="C10" s="50" t="s">
        <v>133</v>
      </c>
      <c r="D10" s="50" t="s">
        <v>189</v>
      </c>
      <c r="E10" s="50" t="s">
        <v>29</v>
      </c>
      <c r="F10" s="50" t="s">
        <v>190</v>
      </c>
      <c r="G10" s="50" t="s">
        <v>125</v>
      </c>
      <c r="I10" s="50" t="s">
        <v>29</v>
      </c>
      <c r="J10" s="50" t="s">
        <v>127</v>
      </c>
      <c r="K10" s="50" t="s">
        <v>191</v>
      </c>
      <c r="L10" s="50" t="s">
        <v>192</v>
      </c>
      <c r="M10" s="50" t="s">
        <v>193</v>
      </c>
      <c r="N10" s="50" t="s">
        <v>194</v>
      </c>
      <c r="O10" s="50" t="s">
        <v>142</v>
      </c>
      <c r="P10" s="50" t="s">
        <v>131</v>
      </c>
      <c r="Q10" s="50" t="s">
        <v>130</v>
      </c>
      <c r="R10" s="50" t="s">
        <v>142</v>
      </c>
      <c r="S10" s="50" t="s">
        <v>142</v>
      </c>
      <c r="T10" s="50" t="s">
        <v>130</v>
      </c>
      <c r="U10" s="50" t="s">
        <v>130</v>
      </c>
      <c r="V10" s="50" t="s">
        <v>130</v>
      </c>
      <c r="W10" s="50" t="s">
        <v>142</v>
      </c>
      <c r="X10" s="50" t="s">
        <v>149</v>
      </c>
      <c r="Y10" s="50" t="s">
        <v>149</v>
      </c>
    </row>
    <row r="11" spans="1:25" ht="77" customHeight="1" x14ac:dyDescent="0.35">
      <c r="A11" s="50" t="s">
        <v>195</v>
      </c>
      <c r="C11" s="50" t="s">
        <v>133</v>
      </c>
      <c r="D11" s="50" t="s">
        <v>196</v>
      </c>
      <c r="E11" s="50" t="s">
        <v>197</v>
      </c>
      <c r="F11" s="50" t="s">
        <v>197</v>
      </c>
      <c r="G11" s="50" t="s">
        <v>125</v>
      </c>
      <c r="I11" s="50" t="s">
        <v>198</v>
      </c>
      <c r="J11" s="50" t="s">
        <v>127</v>
      </c>
      <c r="K11" s="50" t="s">
        <v>198</v>
      </c>
      <c r="L11" s="50" t="s">
        <v>199</v>
      </c>
      <c r="M11" s="50" t="s">
        <v>197</v>
      </c>
      <c r="N11" s="50" t="s">
        <v>200</v>
      </c>
      <c r="O11" s="50" t="s">
        <v>142</v>
      </c>
      <c r="P11" s="50" t="s">
        <v>130</v>
      </c>
      <c r="Q11" s="50" t="s">
        <v>130</v>
      </c>
      <c r="R11" s="50" t="s">
        <v>130</v>
      </c>
      <c r="S11" s="50" t="s">
        <v>130</v>
      </c>
      <c r="T11" s="50" t="s">
        <v>142</v>
      </c>
      <c r="U11" s="50" t="s">
        <v>131</v>
      </c>
      <c r="V11" s="50" t="s">
        <v>131</v>
      </c>
      <c r="W11" s="50" t="s">
        <v>131</v>
      </c>
      <c r="X11" s="50" t="s">
        <v>149</v>
      </c>
      <c r="Y11" s="50" t="s">
        <v>149</v>
      </c>
    </row>
    <row r="12" spans="1:25" ht="77" customHeight="1" x14ac:dyDescent="0.35">
      <c r="A12" s="50" t="s">
        <v>201</v>
      </c>
      <c r="C12" s="50" t="s">
        <v>133</v>
      </c>
      <c r="D12" s="50" t="s">
        <v>183</v>
      </c>
      <c r="E12" s="50" t="s">
        <v>202</v>
      </c>
      <c r="F12" s="50" t="s">
        <v>203</v>
      </c>
      <c r="G12" s="50" t="s">
        <v>125</v>
      </c>
      <c r="I12" s="50" t="s">
        <v>204</v>
      </c>
      <c r="J12" s="50" t="s">
        <v>127</v>
      </c>
      <c r="K12" s="50" t="s">
        <v>205</v>
      </c>
      <c r="L12" s="50" t="s">
        <v>206</v>
      </c>
      <c r="M12" s="50" t="s">
        <v>207</v>
      </c>
      <c r="N12" s="50" t="s">
        <v>208</v>
      </c>
      <c r="O12" s="50" t="s">
        <v>130</v>
      </c>
      <c r="P12" s="50" t="s">
        <v>130</v>
      </c>
      <c r="Q12" s="50" t="s">
        <v>130</v>
      </c>
      <c r="R12" s="50" t="s">
        <v>130</v>
      </c>
      <c r="S12" s="50" t="s">
        <v>130</v>
      </c>
      <c r="T12" s="50" t="s">
        <v>142</v>
      </c>
      <c r="U12" s="50" t="s">
        <v>131</v>
      </c>
      <c r="V12" s="50" t="s">
        <v>142</v>
      </c>
      <c r="W12" s="50" t="s">
        <v>142</v>
      </c>
      <c r="X12" s="50" t="s">
        <v>159</v>
      </c>
      <c r="Y12" s="50" t="s">
        <v>159</v>
      </c>
    </row>
    <row r="13" spans="1:25" ht="77" customHeight="1" x14ac:dyDescent="0.35">
      <c r="A13" s="50" t="s">
        <v>209</v>
      </c>
      <c r="C13" s="50" t="s">
        <v>133</v>
      </c>
      <c r="D13" s="50" t="s">
        <v>210</v>
      </c>
      <c r="E13" s="50" t="s">
        <v>211</v>
      </c>
      <c r="F13" s="50" t="s">
        <v>212</v>
      </c>
      <c r="G13" s="50" t="s">
        <v>127</v>
      </c>
      <c r="H13" s="50" t="s">
        <v>213</v>
      </c>
      <c r="I13" s="50" t="s">
        <v>211</v>
      </c>
      <c r="J13" s="50" t="s">
        <v>127</v>
      </c>
      <c r="K13" s="50" t="s">
        <v>214</v>
      </c>
      <c r="L13" s="50" t="s">
        <v>199</v>
      </c>
      <c r="M13" s="50" t="s">
        <v>215</v>
      </c>
      <c r="N13" s="50" t="s">
        <v>216</v>
      </c>
      <c r="O13" s="50" t="s">
        <v>130</v>
      </c>
      <c r="P13" s="50" t="s">
        <v>130</v>
      </c>
      <c r="Q13" s="50" t="s">
        <v>130</v>
      </c>
      <c r="R13" s="50" t="s">
        <v>130</v>
      </c>
      <c r="S13" s="50" t="s">
        <v>130</v>
      </c>
      <c r="T13" s="50" t="s">
        <v>130</v>
      </c>
      <c r="U13" s="50" t="s">
        <v>142</v>
      </c>
      <c r="V13" s="50" t="s">
        <v>142</v>
      </c>
      <c r="W13" s="50" t="s">
        <v>130</v>
      </c>
      <c r="X13" s="50" t="s">
        <v>131</v>
      </c>
      <c r="Y13" s="50" t="s">
        <v>131</v>
      </c>
    </row>
    <row r="14" spans="1:25" ht="159.5" hidden="1" x14ac:dyDescent="0.35">
      <c r="A14" s="50" t="s">
        <v>217</v>
      </c>
      <c r="C14" s="50" t="s">
        <v>122</v>
      </c>
      <c r="D14" s="50" t="s">
        <v>218</v>
      </c>
      <c r="E14" s="50" t="s">
        <v>219</v>
      </c>
      <c r="F14" s="50" t="s">
        <v>220</v>
      </c>
      <c r="G14" s="50" t="s">
        <v>125</v>
      </c>
      <c r="I14" s="50" t="s">
        <v>221</v>
      </c>
      <c r="J14" s="50" t="s">
        <v>127</v>
      </c>
      <c r="K14" s="50" t="s">
        <v>222</v>
      </c>
      <c r="L14" s="50" t="s">
        <v>223</v>
      </c>
      <c r="M14" s="50" t="s">
        <v>224</v>
      </c>
      <c r="N14" s="50" t="s">
        <v>225</v>
      </c>
      <c r="O14" s="50" t="s">
        <v>130</v>
      </c>
      <c r="P14" s="50" t="s">
        <v>130</v>
      </c>
      <c r="Q14" s="50" t="s">
        <v>130</v>
      </c>
      <c r="R14" s="50" t="s">
        <v>130</v>
      </c>
      <c r="S14" s="50" t="s">
        <v>130</v>
      </c>
      <c r="T14" s="50" t="s">
        <v>142</v>
      </c>
      <c r="U14" s="50" t="s">
        <v>142</v>
      </c>
      <c r="V14" s="50" t="s">
        <v>142</v>
      </c>
      <c r="W14" s="50" t="s">
        <v>142</v>
      </c>
      <c r="X14" s="50" t="s">
        <v>149</v>
      </c>
      <c r="Y14" s="50" t="s">
        <v>149</v>
      </c>
    </row>
    <row r="15" spans="1:25" ht="77" customHeight="1" x14ac:dyDescent="0.35">
      <c r="A15" s="50" t="s">
        <v>226</v>
      </c>
      <c r="C15" s="50" t="s">
        <v>133</v>
      </c>
      <c r="D15" s="50" t="s">
        <v>123</v>
      </c>
      <c r="E15" s="50" t="s">
        <v>227</v>
      </c>
      <c r="F15" s="50" t="s">
        <v>228</v>
      </c>
      <c r="G15" s="50" t="s">
        <v>125</v>
      </c>
      <c r="I15" s="50" t="s">
        <v>229</v>
      </c>
      <c r="J15" s="50" t="s">
        <v>127</v>
      </c>
      <c r="K15" s="50" t="s">
        <v>230</v>
      </c>
      <c r="L15" s="50" t="s">
        <v>231</v>
      </c>
      <c r="M15" s="50" t="s">
        <v>232</v>
      </c>
      <c r="N15" s="50" t="s">
        <v>233</v>
      </c>
      <c r="O15" s="50" t="s">
        <v>130</v>
      </c>
      <c r="P15" s="50" t="s">
        <v>130</v>
      </c>
      <c r="Q15" s="50" t="s">
        <v>130</v>
      </c>
      <c r="R15" s="50" t="s">
        <v>130</v>
      </c>
      <c r="S15" s="50" t="s">
        <v>130</v>
      </c>
      <c r="T15" s="50" t="s">
        <v>142</v>
      </c>
      <c r="U15" s="50" t="s">
        <v>131</v>
      </c>
      <c r="V15" s="50" t="s">
        <v>142</v>
      </c>
      <c r="W15" s="50" t="s">
        <v>142</v>
      </c>
      <c r="X15" s="50" t="s">
        <v>149</v>
      </c>
      <c r="Y15" s="50" t="s">
        <v>149</v>
      </c>
    </row>
    <row r="16" spans="1:25" ht="77" customHeight="1" x14ac:dyDescent="0.35">
      <c r="A16" s="50" t="s">
        <v>234</v>
      </c>
      <c r="C16" s="50" t="s">
        <v>235</v>
      </c>
      <c r="D16" s="50" t="s">
        <v>236</v>
      </c>
      <c r="E16" s="50" t="s">
        <v>237</v>
      </c>
      <c r="F16" s="50" t="s">
        <v>29</v>
      </c>
      <c r="G16" s="50" t="s">
        <v>125</v>
      </c>
      <c r="I16" s="50" t="s">
        <v>238</v>
      </c>
      <c r="J16" s="50" t="s">
        <v>127</v>
      </c>
      <c r="K16" s="51" t="s">
        <v>239</v>
      </c>
      <c r="L16" s="50" t="s">
        <v>240</v>
      </c>
      <c r="M16" s="50" t="s">
        <v>241</v>
      </c>
      <c r="N16" s="50" t="s">
        <v>242</v>
      </c>
      <c r="O16" s="50" t="s">
        <v>130</v>
      </c>
      <c r="P16" s="50" t="s">
        <v>130</v>
      </c>
      <c r="Q16" s="50" t="s">
        <v>130</v>
      </c>
      <c r="R16" s="50" t="s">
        <v>130</v>
      </c>
      <c r="S16" s="50" t="s">
        <v>142</v>
      </c>
      <c r="T16" s="50" t="s">
        <v>142</v>
      </c>
      <c r="U16" s="50" t="s">
        <v>131</v>
      </c>
      <c r="V16" s="50" t="s">
        <v>142</v>
      </c>
      <c r="W16" s="50" t="s">
        <v>142</v>
      </c>
      <c r="X16" s="50" t="s">
        <v>131</v>
      </c>
      <c r="Y16" s="50" t="s">
        <v>131</v>
      </c>
    </row>
    <row r="17" spans="1:25" ht="130.5" hidden="1" x14ac:dyDescent="0.35">
      <c r="A17" s="50" t="s">
        <v>243</v>
      </c>
      <c r="C17" s="50" t="s">
        <v>122</v>
      </c>
      <c r="D17" s="50" t="s">
        <v>189</v>
      </c>
      <c r="E17" s="50" t="s">
        <v>244</v>
      </c>
      <c r="F17" s="50" t="s">
        <v>245</v>
      </c>
      <c r="G17" s="50" t="s">
        <v>125</v>
      </c>
      <c r="I17" s="50" t="s">
        <v>246</v>
      </c>
      <c r="J17" s="50" t="s">
        <v>127</v>
      </c>
      <c r="K17" s="50" t="s">
        <v>247</v>
      </c>
      <c r="L17" s="50" t="s">
        <v>248</v>
      </c>
      <c r="M17" s="50" t="s">
        <v>249</v>
      </c>
      <c r="N17" s="50" t="s">
        <v>250</v>
      </c>
      <c r="O17" s="50" t="s">
        <v>130</v>
      </c>
      <c r="P17" s="50" t="s">
        <v>130</v>
      </c>
      <c r="Q17" s="50" t="s">
        <v>130</v>
      </c>
      <c r="R17" s="50" t="s">
        <v>130</v>
      </c>
      <c r="S17" s="50" t="s">
        <v>130</v>
      </c>
      <c r="T17" s="50" t="s">
        <v>130</v>
      </c>
      <c r="U17" s="50" t="s">
        <v>142</v>
      </c>
      <c r="V17" s="50" t="s">
        <v>131</v>
      </c>
      <c r="W17" s="50" t="s">
        <v>130</v>
      </c>
      <c r="X17" s="50" t="s">
        <v>131</v>
      </c>
      <c r="Y17" s="50" t="s">
        <v>131</v>
      </c>
    </row>
    <row r="18" spans="1:25" ht="77" customHeight="1" x14ac:dyDescent="0.35">
      <c r="A18" s="50" t="s">
        <v>201</v>
      </c>
      <c r="C18" s="50" t="s">
        <v>133</v>
      </c>
      <c r="D18" s="50" t="s">
        <v>251</v>
      </c>
      <c r="E18" s="50" t="s">
        <v>252</v>
      </c>
      <c r="F18" s="50" t="s">
        <v>252</v>
      </c>
      <c r="G18" s="50" t="s">
        <v>125</v>
      </c>
      <c r="I18" s="50" t="s">
        <v>252</v>
      </c>
      <c r="J18" s="50" t="s">
        <v>127</v>
      </c>
      <c r="K18" s="50" t="s">
        <v>253</v>
      </c>
      <c r="L18" s="50" t="s">
        <v>254</v>
      </c>
      <c r="M18" s="50" t="s">
        <v>197</v>
      </c>
      <c r="N18" s="50" t="s">
        <v>255</v>
      </c>
      <c r="O18" s="50" t="s">
        <v>130</v>
      </c>
      <c r="P18" s="50" t="s">
        <v>130</v>
      </c>
      <c r="Q18" s="50" t="s">
        <v>130</v>
      </c>
      <c r="R18" s="50" t="s">
        <v>130</v>
      </c>
      <c r="S18" s="50" t="s">
        <v>130</v>
      </c>
      <c r="T18" s="50" t="s">
        <v>130</v>
      </c>
      <c r="U18" s="50" t="s">
        <v>142</v>
      </c>
      <c r="V18" s="50" t="s">
        <v>142</v>
      </c>
      <c r="W18" s="50" t="s">
        <v>130</v>
      </c>
      <c r="X18" s="50" t="s">
        <v>149</v>
      </c>
      <c r="Y18" s="50" t="s">
        <v>149</v>
      </c>
    </row>
    <row r="19" spans="1:25" ht="77" customHeight="1" x14ac:dyDescent="0.35">
      <c r="A19" s="50" t="s">
        <v>256</v>
      </c>
      <c r="C19" s="50" t="s">
        <v>133</v>
      </c>
      <c r="D19" s="50" t="s">
        <v>183</v>
      </c>
      <c r="E19" s="50" t="s">
        <v>257</v>
      </c>
      <c r="F19" s="50" t="s">
        <v>258</v>
      </c>
      <c r="G19" s="50" t="s">
        <v>125</v>
      </c>
      <c r="I19" s="50" t="s">
        <v>257</v>
      </c>
      <c r="J19" s="50" t="s">
        <v>127</v>
      </c>
      <c r="K19" s="50" t="s">
        <v>258</v>
      </c>
      <c r="L19" s="50" t="s">
        <v>259</v>
      </c>
      <c r="O19" s="50" t="s">
        <v>130</v>
      </c>
      <c r="P19" s="50" t="s">
        <v>130</v>
      </c>
      <c r="Q19" s="50" t="s">
        <v>130</v>
      </c>
      <c r="R19" s="50" t="s">
        <v>130</v>
      </c>
      <c r="S19" s="50" t="s">
        <v>130</v>
      </c>
      <c r="T19" s="50" t="s">
        <v>142</v>
      </c>
      <c r="U19" s="50" t="s">
        <v>142</v>
      </c>
      <c r="V19" s="50" t="s">
        <v>142</v>
      </c>
      <c r="W19" s="50" t="s">
        <v>130</v>
      </c>
      <c r="X19" s="50" t="s">
        <v>142</v>
      </c>
      <c r="Y19" s="50" t="s">
        <v>131</v>
      </c>
    </row>
    <row r="20" spans="1:25" ht="77" customHeight="1" x14ac:dyDescent="0.35">
      <c r="A20" s="50" t="s">
        <v>260</v>
      </c>
      <c r="C20" s="50" t="s">
        <v>133</v>
      </c>
      <c r="D20" s="50" t="s">
        <v>176</v>
      </c>
      <c r="E20" s="50" t="s">
        <v>261</v>
      </c>
      <c r="F20" s="50" t="s">
        <v>262</v>
      </c>
      <c r="G20" s="50" t="s">
        <v>125</v>
      </c>
      <c r="I20" s="50" t="s">
        <v>263</v>
      </c>
      <c r="J20" s="50" t="s">
        <v>127</v>
      </c>
      <c r="K20" s="51" t="s">
        <v>264</v>
      </c>
      <c r="L20" s="50" t="s">
        <v>259</v>
      </c>
      <c r="M20" s="50" t="s">
        <v>265</v>
      </c>
      <c r="N20" s="50" t="s">
        <v>266</v>
      </c>
      <c r="O20" s="50" t="s">
        <v>142</v>
      </c>
      <c r="P20" s="50" t="s">
        <v>142</v>
      </c>
      <c r="Q20" s="50" t="s">
        <v>142</v>
      </c>
      <c r="R20" s="50" t="s">
        <v>142</v>
      </c>
      <c r="S20" s="50" t="s">
        <v>142</v>
      </c>
      <c r="T20" s="50" t="s">
        <v>142</v>
      </c>
      <c r="U20" s="50" t="s">
        <v>142</v>
      </c>
      <c r="V20" s="50" t="s">
        <v>142</v>
      </c>
      <c r="W20" s="50" t="s">
        <v>142</v>
      </c>
      <c r="X20" s="50" t="s">
        <v>149</v>
      </c>
      <c r="Y20" s="50" t="s">
        <v>149</v>
      </c>
    </row>
    <row r="21" spans="1:25" ht="77" customHeight="1" x14ac:dyDescent="0.35">
      <c r="A21" s="50" t="s">
        <v>267</v>
      </c>
      <c r="C21" s="50" t="s">
        <v>133</v>
      </c>
      <c r="D21" s="50" t="s">
        <v>268</v>
      </c>
      <c r="E21" s="50" t="s">
        <v>269</v>
      </c>
      <c r="F21" s="50" t="s">
        <v>270</v>
      </c>
      <c r="G21" s="50" t="s">
        <v>125</v>
      </c>
      <c r="I21" s="50" t="s">
        <v>271</v>
      </c>
      <c r="J21" s="50" t="s">
        <v>127</v>
      </c>
      <c r="K21" s="50" t="s">
        <v>272</v>
      </c>
      <c r="L21" s="50" t="s">
        <v>273</v>
      </c>
      <c r="M21" s="50" t="s">
        <v>274</v>
      </c>
      <c r="N21" s="50" t="s">
        <v>275</v>
      </c>
      <c r="O21" s="50" t="s">
        <v>130</v>
      </c>
      <c r="P21" s="50" t="s">
        <v>130</v>
      </c>
      <c r="Q21" s="50" t="s">
        <v>130</v>
      </c>
      <c r="R21" s="50" t="s">
        <v>130</v>
      </c>
      <c r="S21" s="50" t="s">
        <v>130</v>
      </c>
      <c r="T21" s="50" t="s">
        <v>130</v>
      </c>
      <c r="U21" s="50" t="s">
        <v>142</v>
      </c>
      <c r="V21" s="50" t="s">
        <v>142</v>
      </c>
      <c r="W21" s="50" t="s">
        <v>130</v>
      </c>
      <c r="X21" s="50" t="s">
        <v>131</v>
      </c>
      <c r="Y21" s="50" t="s">
        <v>142</v>
      </c>
    </row>
    <row r="22" spans="1:25" ht="77" customHeight="1" x14ac:dyDescent="0.35">
      <c r="A22" s="50" t="s">
        <v>276</v>
      </c>
      <c r="C22" s="50" t="s">
        <v>133</v>
      </c>
      <c r="D22" s="50" t="s">
        <v>277</v>
      </c>
      <c r="E22" s="50" t="s">
        <v>29</v>
      </c>
      <c r="F22" s="50" t="s">
        <v>278</v>
      </c>
      <c r="G22" s="50" t="s">
        <v>125</v>
      </c>
      <c r="I22" s="50" t="s">
        <v>279</v>
      </c>
      <c r="J22" s="50" t="s">
        <v>127</v>
      </c>
      <c r="K22" s="50" t="s">
        <v>280</v>
      </c>
      <c r="L22" s="50" t="s">
        <v>281</v>
      </c>
      <c r="M22" s="50" t="s">
        <v>282</v>
      </c>
      <c r="N22" s="50" t="s">
        <v>283</v>
      </c>
      <c r="O22" s="50" t="s">
        <v>130</v>
      </c>
      <c r="P22" s="50" t="s">
        <v>130</v>
      </c>
      <c r="Q22" s="50" t="s">
        <v>130</v>
      </c>
      <c r="R22" s="50" t="s">
        <v>130</v>
      </c>
      <c r="S22" s="50" t="s">
        <v>130</v>
      </c>
      <c r="T22" s="50" t="s">
        <v>130</v>
      </c>
      <c r="U22" s="50" t="s">
        <v>130</v>
      </c>
      <c r="V22" s="50" t="s">
        <v>130</v>
      </c>
      <c r="W22" s="50" t="s">
        <v>130</v>
      </c>
      <c r="X22" s="50" t="s">
        <v>149</v>
      </c>
      <c r="Y22" s="50" t="s">
        <v>149</v>
      </c>
    </row>
    <row r="23" spans="1:25" ht="77" customHeight="1" x14ac:dyDescent="0.35">
      <c r="A23" s="50" t="s">
        <v>284</v>
      </c>
      <c r="C23" s="50" t="s">
        <v>133</v>
      </c>
      <c r="D23" s="50" t="s">
        <v>285</v>
      </c>
      <c r="E23" s="50" t="s">
        <v>29</v>
      </c>
      <c r="F23" s="50" t="s">
        <v>286</v>
      </c>
      <c r="G23" s="50" t="s">
        <v>127</v>
      </c>
      <c r="H23" s="50" t="s">
        <v>286</v>
      </c>
      <c r="I23" s="50" t="s">
        <v>287</v>
      </c>
      <c r="J23" s="50" t="s">
        <v>125</v>
      </c>
      <c r="L23" s="50" t="s">
        <v>288</v>
      </c>
      <c r="M23" s="50" t="s">
        <v>289</v>
      </c>
      <c r="N23" s="50" t="s">
        <v>290</v>
      </c>
      <c r="O23" s="50" t="s">
        <v>130</v>
      </c>
      <c r="P23" s="50" t="s">
        <v>130</v>
      </c>
      <c r="Q23" s="50" t="s">
        <v>130</v>
      </c>
      <c r="R23" s="50" t="s">
        <v>130</v>
      </c>
      <c r="S23" s="50" t="s">
        <v>130</v>
      </c>
      <c r="T23" s="50" t="s">
        <v>149</v>
      </c>
      <c r="U23" s="50" t="s">
        <v>131</v>
      </c>
      <c r="V23" s="50" t="s">
        <v>131</v>
      </c>
      <c r="W23" s="50" t="s">
        <v>131</v>
      </c>
      <c r="X23" s="50" t="s">
        <v>149</v>
      </c>
      <c r="Y23" s="50" t="s">
        <v>149</v>
      </c>
    </row>
    <row r="24" spans="1:25" ht="77" customHeight="1" x14ac:dyDescent="0.35">
      <c r="A24" s="50" t="s">
        <v>291</v>
      </c>
      <c r="C24" s="50" t="s">
        <v>133</v>
      </c>
      <c r="D24" s="50" t="s">
        <v>292</v>
      </c>
      <c r="E24" s="50" t="s">
        <v>293</v>
      </c>
      <c r="F24" s="50" t="s">
        <v>294</v>
      </c>
      <c r="G24" s="50" t="s">
        <v>125</v>
      </c>
      <c r="I24" s="50" t="s">
        <v>274</v>
      </c>
      <c r="J24" s="50" t="s">
        <v>127</v>
      </c>
      <c r="K24" s="50" t="s">
        <v>295</v>
      </c>
      <c r="L24" s="50" t="s">
        <v>296</v>
      </c>
      <c r="M24" s="50" t="s">
        <v>274</v>
      </c>
      <c r="N24" s="51" t="s">
        <v>297</v>
      </c>
      <c r="O24" s="50" t="s">
        <v>130</v>
      </c>
      <c r="P24" s="50" t="s">
        <v>130</v>
      </c>
      <c r="Q24" s="50" t="s">
        <v>130</v>
      </c>
      <c r="R24" s="50" t="s">
        <v>130</v>
      </c>
      <c r="S24" s="50" t="s">
        <v>130</v>
      </c>
      <c r="T24" s="50" t="s">
        <v>130</v>
      </c>
      <c r="U24" s="50" t="s">
        <v>130</v>
      </c>
      <c r="V24" s="50" t="s">
        <v>130</v>
      </c>
      <c r="W24" s="50" t="s">
        <v>130</v>
      </c>
      <c r="X24" s="50" t="s">
        <v>131</v>
      </c>
      <c r="Y24" s="50" t="s">
        <v>149</v>
      </c>
    </row>
    <row r="25" spans="1:25" ht="77" customHeight="1" x14ac:dyDescent="0.35">
      <c r="A25" s="50" t="s">
        <v>298</v>
      </c>
      <c r="C25" s="50" t="s">
        <v>133</v>
      </c>
      <c r="D25" s="50" t="s">
        <v>299</v>
      </c>
      <c r="E25" s="50" t="s">
        <v>197</v>
      </c>
      <c r="F25" s="50" t="s">
        <v>300</v>
      </c>
      <c r="G25" s="50" t="s">
        <v>125</v>
      </c>
      <c r="I25" s="50" t="s">
        <v>301</v>
      </c>
      <c r="J25" s="50" t="s">
        <v>127</v>
      </c>
      <c r="K25" s="50" t="s">
        <v>300</v>
      </c>
      <c r="L25" s="50" t="s">
        <v>192</v>
      </c>
      <c r="M25" s="50" t="s">
        <v>302</v>
      </c>
      <c r="N25" s="50" t="s">
        <v>300</v>
      </c>
      <c r="O25" s="50" t="s">
        <v>130</v>
      </c>
      <c r="P25" s="50" t="s">
        <v>130</v>
      </c>
      <c r="Q25" s="50" t="s">
        <v>130</v>
      </c>
      <c r="R25" s="50" t="s">
        <v>130</v>
      </c>
      <c r="S25" s="50" t="s">
        <v>130</v>
      </c>
      <c r="T25" s="50" t="s">
        <v>130</v>
      </c>
      <c r="U25" s="50" t="s">
        <v>142</v>
      </c>
      <c r="V25" s="50" t="s">
        <v>130</v>
      </c>
      <c r="W25" s="50" t="s">
        <v>130</v>
      </c>
      <c r="X25" s="50" t="s">
        <v>149</v>
      </c>
      <c r="Y25" s="50" t="s">
        <v>149</v>
      </c>
    </row>
    <row r="26" spans="1:25" ht="77" customHeight="1" x14ac:dyDescent="0.35">
      <c r="A26" s="50" t="s">
        <v>303</v>
      </c>
      <c r="C26" s="50" t="s">
        <v>133</v>
      </c>
      <c r="D26" s="50" t="s">
        <v>304</v>
      </c>
      <c r="E26" s="50" t="s">
        <v>305</v>
      </c>
      <c r="F26" s="50" t="s">
        <v>306</v>
      </c>
      <c r="G26" s="50" t="s">
        <v>125</v>
      </c>
      <c r="I26" s="51" t="s">
        <v>307</v>
      </c>
      <c r="J26" s="50" t="s">
        <v>125</v>
      </c>
      <c r="L26" s="50" t="s">
        <v>308</v>
      </c>
      <c r="M26" s="50" t="s">
        <v>309</v>
      </c>
      <c r="N26" s="51" t="s">
        <v>310</v>
      </c>
      <c r="O26" s="50" t="s">
        <v>130</v>
      </c>
      <c r="P26" s="50" t="s">
        <v>130</v>
      </c>
      <c r="Q26" s="50" t="s">
        <v>130</v>
      </c>
      <c r="R26" s="50" t="s">
        <v>130</v>
      </c>
      <c r="S26" s="50" t="s">
        <v>130</v>
      </c>
      <c r="T26" s="50" t="s">
        <v>142</v>
      </c>
      <c r="U26" s="50" t="s">
        <v>142</v>
      </c>
      <c r="V26" s="50" t="s">
        <v>130</v>
      </c>
      <c r="W26" s="50" t="s">
        <v>142</v>
      </c>
      <c r="X26" s="50" t="s">
        <v>149</v>
      </c>
      <c r="Y26" s="50" t="s">
        <v>149</v>
      </c>
    </row>
    <row r="27" spans="1:25" ht="77" customHeight="1" x14ac:dyDescent="0.35">
      <c r="A27" s="50" t="s">
        <v>311</v>
      </c>
      <c r="C27" s="50" t="s">
        <v>133</v>
      </c>
      <c r="D27" s="50" t="s">
        <v>236</v>
      </c>
      <c r="E27" s="50" t="s">
        <v>312</v>
      </c>
      <c r="F27" s="50" t="s">
        <v>313</v>
      </c>
      <c r="G27" s="50" t="s">
        <v>127</v>
      </c>
      <c r="H27" s="50" t="s">
        <v>314</v>
      </c>
      <c r="I27" s="50" t="s">
        <v>315</v>
      </c>
      <c r="J27" s="50" t="s">
        <v>127</v>
      </c>
      <c r="K27" s="51" t="s">
        <v>316</v>
      </c>
      <c r="L27" s="50" t="s">
        <v>317</v>
      </c>
      <c r="M27" s="50" t="s">
        <v>318</v>
      </c>
      <c r="N27" s="50" t="s">
        <v>319</v>
      </c>
      <c r="O27" s="50" t="s">
        <v>130</v>
      </c>
      <c r="P27" s="50" t="s">
        <v>130</v>
      </c>
      <c r="Q27" s="50" t="s">
        <v>130</v>
      </c>
      <c r="R27" s="50" t="s">
        <v>130</v>
      </c>
      <c r="S27" s="50" t="s">
        <v>130</v>
      </c>
      <c r="T27" s="50" t="s">
        <v>130</v>
      </c>
      <c r="U27" s="50" t="s">
        <v>130</v>
      </c>
      <c r="V27" s="50" t="s">
        <v>130</v>
      </c>
      <c r="W27" s="50" t="s">
        <v>130</v>
      </c>
      <c r="X27" s="50" t="s">
        <v>149</v>
      </c>
      <c r="Y27" s="50" t="s">
        <v>149</v>
      </c>
    </row>
    <row r="28" spans="1:25" ht="58" hidden="1" x14ac:dyDescent="0.35">
      <c r="A28" s="50" t="s">
        <v>320</v>
      </c>
      <c r="C28" s="50" t="s">
        <v>122</v>
      </c>
      <c r="D28" s="50" t="s">
        <v>321</v>
      </c>
      <c r="E28" s="50" t="s">
        <v>29</v>
      </c>
      <c r="G28" s="50" t="s">
        <v>125</v>
      </c>
      <c r="I28" s="50" t="s">
        <v>322</v>
      </c>
      <c r="J28" s="50" t="s">
        <v>127</v>
      </c>
      <c r="K28" s="50" t="s">
        <v>323</v>
      </c>
      <c r="L28" s="50" t="s">
        <v>324</v>
      </c>
      <c r="O28" s="50" t="s">
        <v>130</v>
      </c>
      <c r="P28" s="50" t="s">
        <v>130</v>
      </c>
      <c r="Q28" s="50" t="s">
        <v>130</v>
      </c>
      <c r="R28" s="50" t="s">
        <v>130</v>
      </c>
      <c r="S28" s="50" t="s">
        <v>130</v>
      </c>
      <c r="T28" s="50" t="s">
        <v>130</v>
      </c>
      <c r="U28" s="50" t="s">
        <v>142</v>
      </c>
      <c r="V28" s="50" t="s">
        <v>142</v>
      </c>
      <c r="W28" s="50" t="s">
        <v>130</v>
      </c>
      <c r="X28" s="50" t="s">
        <v>131</v>
      </c>
      <c r="Y28" s="50" t="s">
        <v>131</v>
      </c>
    </row>
    <row r="29" spans="1:25" ht="43.5" hidden="1" x14ac:dyDescent="0.35">
      <c r="A29" s="50" t="s">
        <v>325</v>
      </c>
      <c r="C29" s="50" t="s">
        <v>122</v>
      </c>
      <c r="D29" s="50" t="s">
        <v>326</v>
      </c>
      <c r="E29" s="50" t="s">
        <v>29</v>
      </c>
      <c r="F29" s="50" t="s">
        <v>327</v>
      </c>
      <c r="G29" s="50" t="s">
        <v>125</v>
      </c>
      <c r="I29" s="50" t="s">
        <v>328</v>
      </c>
      <c r="J29" s="50" t="s">
        <v>127</v>
      </c>
      <c r="K29" s="50" t="s">
        <v>329</v>
      </c>
      <c r="L29" s="50" t="s">
        <v>330</v>
      </c>
      <c r="M29" s="50" t="s">
        <v>331</v>
      </c>
      <c r="N29" s="50" t="s">
        <v>332</v>
      </c>
      <c r="O29" s="50" t="s">
        <v>130</v>
      </c>
      <c r="P29" s="50" t="s">
        <v>130</v>
      </c>
      <c r="Q29" s="50" t="s">
        <v>130</v>
      </c>
      <c r="R29" s="50" t="s">
        <v>130</v>
      </c>
      <c r="S29" s="50" t="s">
        <v>142</v>
      </c>
      <c r="T29" s="50" t="s">
        <v>130</v>
      </c>
      <c r="U29" s="50" t="s">
        <v>142</v>
      </c>
      <c r="V29" s="50" t="s">
        <v>142</v>
      </c>
      <c r="W29" s="50" t="s">
        <v>142</v>
      </c>
      <c r="X29" s="50" t="s">
        <v>131</v>
      </c>
      <c r="Y29" s="50" t="s">
        <v>131</v>
      </c>
    </row>
    <row r="30" spans="1:25" ht="77" customHeight="1" x14ac:dyDescent="0.35">
      <c r="A30" s="50" t="s">
        <v>333</v>
      </c>
      <c r="C30" s="50" t="s">
        <v>133</v>
      </c>
      <c r="D30" s="50" t="s">
        <v>334</v>
      </c>
      <c r="E30" s="50" t="s">
        <v>335</v>
      </c>
      <c r="F30" s="50" t="s">
        <v>336</v>
      </c>
      <c r="G30" s="50" t="s">
        <v>125</v>
      </c>
      <c r="I30" s="50" t="s">
        <v>337</v>
      </c>
      <c r="J30" s="50" t="s">
        <v>127</v>
      </c>
      <c r="K30" s="50" t="s">
        <v>337</v>
      </c>
      <c r="L30" s="50" t="s">
        <v>164</v>
      </c>
      <c r="M30" s="50" t="s">
        <v>338</v>
      </c>
      <c r="N30" s="50" t="s">
        <v>339</v>
      </c>
      <c r="O30" s="50" t="s">
        <v>130</v>
      </c>
      <c r="P30" s="50" t="s">
        <v>130</v>
      </c>
      <c r="Q30" s="50" t="s">
        <v>130</v>
      </c>
      <c r="R30" s="50" t="s">
        <v>130</v>
      </c>
      <c r="S30" s="50" t="s">
        <v>130</v>
      </c>
      <c r="T30" s="50" t="s">
        <v>130</v>
      </c>
      <c r="U30" s="50" t="s">
        <v>130</v>
      </c>
      <c r="V30" s="50" t="s">
        <v>130</v>
      </c>
      <c r="W30" s="50" t="s">
        <v>130</v>
      </c>
      <c r="X30" s="50" t="s">
        <v>131</v>
      </c>
      <c r="Y30" s="50" t="s">
        <v>131</v>
      </c>
    </row>
  </sheetData>
  <autoFilter ref="A1:Y30" xr:uid="{00000000-0009-0000-0000-000001000000}">
    <filterColumn colId="2">
      <filters>
        <filter val="3–6 months"/>
        <filter val="Less than 3 months"/>
      </filters>
    </filterColumn>
  </autoFilter>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topLeftCell="E1" workbookViewId="0">
      <pane ySplit="1" topLeftCell="A2" activePane="bottomLeft" state="frozen"/>
      <selection pane="bottomLeft" activeCell="C26" sqref="C26"/>
    </sheetView>
  </sheetViews>
  <sheetFormatPr defaultRowHeight="14.5" x14ac:dyDescent="0.35"/>
  <cols>
    <col min="1" max="1" width="30.453125" customWidth="1"/>
    <col min="2" max="2" width="18" customWidth="1"/>
    <col min="3" max="3" width="12.26953125" customWidth="1"/>
    <col min="4" max="4" width="9.453125" customWidth="1"/>
    <col min="5" max="5" width="22" customWidth="1"/>
    <col min="6" max="6" width="15.1796875" customWidth="1"/>
    <col min="7" max="7" width="10.81640625" customWidth="1"/>
    <col min="8" max="8" width="18" customWidth="1"/>
    <col min="9" max="9" width="9.54296875" customWidth="1"/>
  </cols>
  <sheetData>
    <row r="1" spans="1:9" x14ac:dyDescent="0.35">
      <c r="A1" s="33" t="s">
        <v>340</v>
      </c>
      <c r="B1" s="34" t="s">
        <v>130</v>
      </c>
      <c r="C1" s="34" t="s">
        <v>142</v>
      </c>
      <c r="D1" s="34" t="s">
        <v>131</v>
      </c>
      <c r="E1" s="34" t="s">
        <v>149</v>
      </c>
      <c r="F1" s="34" t="s">
        <v>159</v>
      </c>
      <c r="G1" s="34" t="s">
        <v>341</v>
      </c>
      <c r="H1" s="34" t="s">
        <v>342</v>
      </c>
      <c r="I1" s="35" t="s">
        <v>1</v>
      </c>
    </row>
    <row r="2" spans="1:9" x14ac:dyDescent="0.35">
      <c r="A2" s="31" t="s">
        <v>113</v>
      </c>
      <c r="B2" s="28">
        <f>COUNTIF('Raw Data'!$O$2:$O$30,"Very Confident")</f>
        <v>25</v>
      </c>
      <c r="C2" s="28">
        <f>COUNTIF('Raw Data'!$O$2:$O$30,"Confident")</f>
        <v>4</v>
      </c>
      <c r="D2" s="28">
        <f>COUNTIF('Raw Data'!$O$2:$O$30,"Neutral")</f>
        <v>0</v>
      </c>
      <c r="E2" s="28">
        <f>COUNTIF('Raw Data'!$O$2:$O$30,"Need More Knowledge")</f>
        <v>0</v>
      </c>
      <c r="F2" s="28">
        <f>COUNTIF('Raw Data'!$O$2:$O$30,"Not Confident")</f>
        <v>0</v>
      </c>
      <c r="G2" s="29">
        <f>IFERROR((B2*4+C2*3+D2*2+(E2+F2)*1)/COUNTA('Raw Data'!$O$2:$O$30),0)</f>
        <v>3.8620689655172415</v>
      </c>
      <c r="H2" s="30">
        <f>IFERROR((D2+E2+F2)/COUNTA('Raw Data'!$O$2:$O$30),0)</f>
        <v>0</v>
      </c>
      <c r="I2" s="32" t="str">
        <f t="shared" ref="I2:I12" si="0">IF(H2&gt;=0.6,"Critical",IF(H2&gt;=0.4,"High",IF(H2&gt;=0.2,"Medium","Low")))</f>
        <v>Low</v>
      </c>
    </row>
    <row r="3" spans="1:9" x14ac:dyDescent="0.35">
      <c r="A3" s="31" t="s">
        <v>114</v>
      </c>
      <c r="B3" s="28">
        <f>COUNTIF('Raw Data'!$P$2:$P$30,"Very Confident")</f>
        <v>26</v>
      </c>
      <c r="C3" s="28">
        <f>COUNTIF('Raw Data'!$P$2:$P$30,"Confident")</f>
        <v>2</v>
      </c>
      <c r="D3" s="28">
        <f>COUNTIF('Raw Data'!$P$2:$P$30,"Neutral")</f>
        <v>1</v>
      </c>
      <c r="E3" s="28">
        <f>COUNTIF('Raw Data'!$P$2:$P$30,"Need More Knowledge")</f>
        <v>0</v>
      </c>
      <c r="F3" s="28">
        <f>COUNTIF('Raw Data'!$P$2:$P$30,"Not Confident")</f>
        <v>0</v>
      </c>
      <c r="G3" s="29">
        <f>IFERROR((B3*4+C3*3+D3*2+(E3+F3)*1)/COUNTA('Raw Data'!$P$2:$P$30),0)</f>
        <v>3.8620689655172415</v>
      </c>
      <c r="H3" s="30">
        <f>IFERROR((D3+E3+F3)/COUNTA('Raw Data'!$P$2:$P$30),0)</f>
        <v>3.4482758620689655E-2</v>
      </c>
      <c r="I3" s="32" t="str">
        <f t="shared" si="0"/>
        <v>Low</v>
      </c>
    </row>
    <row r="4" spans="1:9" x14ac:dyDescent="0.35">
      <c r="A4" s="31" t="s">
        <v>115</v>
      </c>
      <c r="B4" s="28">
        <f>COUNTIF('Raw Data'!$Q$2:$Q$30,"Very Confident")</f>
        <v>27</v>
      </c>
      <c r="C4" s="28">
        <f>COUNTIF('Raw Data'!$Q$2:$Q$30,"Confident")</f>
        <v>2</v>
      </c>
      <c r="D4" s="28">
        <f>COUNTIF('Raw Data'!$Q$2:$Q$30,"Neutral")</f>
        <v>0</v>
      </c>
      <c r="E4" s="28">
        <f>COUNTIF('Raw Data'!$Q$2:$Q$30,"Need More Knowledge")</f>
        <v>0</v>
      </c>
      <c r="F4" s="28">
        <f>COUNTIF('Raw Data'!$Q$2:$Q$30,"Not Confident")</f>
        <v>0</v>
      </c>
      <c r="G4" s="29">
        <f>IFERROR((B4*4+C4*3+D4*2+(E4+F4)*1)/COUNTA('Raw Data'!$Q$2:$Q$30),0)</f>
        <v>3.9310344827586206</v>
      </c>
      <c r="H4" s="30">
        <f>IFERROR((D4+E4+F4)/COUNTA('Raw Data'!$Q$2:$Q$30),0)</f>
        <v>0</v>
      </c>
      <c r="I4" s="32" t="str">
        <f t="shared" si="0"/>
        <v>Low</v>
      </c>
    </row>
    <row r="5" spans="1:9" x14ac:dyDescent="0.35">
      <c r="A5" s="31" t="s">
        <v>116</v>
      </c>
      <c r="B5" s="28">
        <f>COUNTIF('Raw Data'!$R$2:$R$30,"Very Confident")</f>
        <v>24</v>
      </c>
      <c r="C5" s="28">
        <f>COUNTIF('Raw Data'!$R$2:$R$30,"Confident")</f>
        <v>4</v>
      </c>
      <c r="D5" s="28">
        <f>COUNTIF('Raw Data'!$R$2:$R$30,"Neutral")</f>
        <v>1</v>
      </c>
      <c r="E5" s="28">
        <f>COUNTIF('Raw Data'!$R$2:$R$30,"Need More Knowledge")</f>
        <v>0</v>
      </c>
      <c r="F5" s="28">
        <f>COUNTIF('Raw Data'!$R$2:$R$30,"Not Confident")</f>
        <v>0</v>
      </c>
      <c r="G5" s="29">
        <f>IFERROR((B5*4+C5*3+D5*2+(E5+F5)*1)/COUNTA('Raw Data'!$R$2:$R$30),0)</f>
        <v>3.7931034482758621</v>
      </c>
      <c r="H5" s="30">
        <f>IFERROR((D5+E5+F5)/COUNTA('Raw Data'!$R$2:$R$30),0)</f>
        <v>3.4482758620689655E-2</v>
      </c>
      <c r="I5" s="32" t="str">
        <f t="shared" si="0"/>
        <v>Low</v>
      </c>
    </row>
    <row r="6" spans="1:9" x14ac:dyDescent="0.35">
      <c r="A6" s="31" t="s">
        <v>117</v>
      </c>
      <c r="B6" s="28">
        <f>COUNTIF('Raw Data'!$S$2:$S$30,"Very Confident")</f>
        <v>23</v>
      </c>
      <c r="C6" s="28">
        <f>COUNTIF('Raw Data'!$S$2:$S$30,"Confident")</f>
        <v>5</v>
      </c>
      <c r="D6" s="28">
        <f>COUNTIF('Raw Data'!$S$2:$S$30,"Neutral")</f>
        <v>1</v>
      </c>
      <c r="E6" s="28">
        <f>COUNTIF('Raw Data'!$S$2:$S$30,"Need More Knowledge")</f>
        <v>0</v>
      </c>
      <c r="F6" s="28">
        <f>COUNTIF('Raw Data'!$S$2:$S$30,"Not Confident")</f>
        <v>0</v>
      </c>
      <c r="G6" s="29">
        <f>IFERROR((B6*4+C6*3+D6*2+(E6+F6)*1)/COUNTA('Raw Data'!$S$2:$S$30),0)</f>
        <v>3.7586206896551726</v>
      </c>
      <c r="H6" s="30">
        <f>IFERROR((D6+E6+F6)/COUNTA('Raw Data'!$S$2:$S$30),0)</f>
        <v>3.4482758620689655E-2</v>
      </c>
      <c r="I6" s="32" t="str">
        <f t="shared" si="0"/>
        <v>Low</v>
      </c>
    </row>
    <row r="7" spans="1:9" x14ac:dyDescent="0.35">
      <c r="A7" s="31" t="s">
        <v>118</v>
      </c>
      <c r="B7" s="28">
        <f>COUNTIF('Raw Data'!$T$2:$T$30,"Very Confident")</f>
        <v>17</v>
      </c>
      <c r="C7" s="28">
        <f>COUNTIF('Raw Data'!$T$2:$T$30,"Confident")</f>
        <v>10</v>
      </c>
      <c r="D7" s="28">
        <f>COUNTIF('Raw Data'!$T$2:$T$30,"Neutral")</f>
        <v>1</v>
      </c>
      <c r="E7" s="28">
        <f>COUNTIF('Raw Data'!$T$2:$T$30,"Need More Knowledge")</f>
        <v>1</v>
      </c>
      <c r="F7" s="28">
        <f>COUNTIF('Raw Data'!$T$2:$T$30,"Not Confident")</f>
        <v>0</v>
      </c>
      <c r="G7" s="29">
        <f>IFERROR((B7*4+C7*3+D7*2+(E7+F7)*1)/COUNTA('Raw Data'!$T$2:$T$30),0)</f>
        <v>3.4827586206896552</v>
      </c>
      <c r="H7" s="30">
        <f>IFERROR((D7+E7+F7)/COUNTA('Raw Data'!$T$2:$T$30),0)</f>
        <v>6.8965517241379309E-2</v>
      </c>
      <c r="I7" s="32" t="str">
        <f t="shared" si="0"/>
        <v>Low</v>
      </c>
    </row>
    <row r="8" spans="1:9" x14ac:dyDescent="0.35">
      <c r="A8" s="31" t="s">
        <v>29</v>
      </c>
      <c r="B8" s="28">
        <f>COUNTIF('Raw Data'!$U$2:$U$30,"Very Confident")</f>
        <v>9</v>
      </c>
      <c r="C8" s="28">
        <f>COUNTIF('Raw Data'!$U$2:$U$30,"Confident")</f>
        <v>13</v>
      </c>
      <c r="D8" s="28">
        <f>COUNTIF('Raw Data'!$U$2:$U$30,"Neutral")</f>
        <v>6</v>
      </c>
      <c r="E8" s="28">
        <f>COUNTIF('Raw Data'!$U$2:$U$30,"Need More Knowledge")</f>
        <v>1</v>
      </c>
      <c r="F8" s="28">
        <f>COUNTIF('Raw Data'!$U$2:$U$30,"Not Confident")</f>
        <v>0</v>
      </c>
      <c r="G8" s="29">
        <f>IFERROR((B8*4+C8*3+D8*2+(E8+F8)*1)/COUNTA('Raw Data'!$U$2:$U$30),0)</f>
        <v>3.0344827586206895</v>
      </c>
      <c r="H8" s="30">
        <f>IFERROR((D8+E8+F8)/COUNTA('Raw Data'!$U$2:$U$30),0)</f>
        <v>0.2413793103448276</v>
      </c>
      <c r="I8" s="32" t="str">
        <f t="shared" si="0"/>
        <v>Medium</v>
      </c>
    </row>
    <row r="9" spans="1:9" x14ac:dyDescent="0.35">
      <c r="A9" s="31" t="s">
        <v>119</v>
      </c>
      <c r="B9" s="28">
        <f>COUNTIF('Raw Data'!$V$2:$V$30,"Very Confident")</f>
        <v>11</v>
      </c>
      <c r="C9" s="28">
        <f>COUNTIF('Raw Data'!$V$2:$V$30,"Confident")</f>
        <v>14</v>
      </c>
      <c r="D9" s="28">
        <f>COUNTIF('Raw Data'!$V$2:$V$30,"Neutral")</f>
        <v>3</v>
      </c>
      <c r="E9" s="28">
        <f>COUNTIF('Raw Data'!$V$2:$V$30,"Need More Knowledge")</f>
        <v>1</v>
      </c>
      <c r="F9" s="28">
        <f>COUNTIF('Raw Data'!$V$2:$V$30,"Not Confident")</f>
        <v>0</v>
      </c>
      <c r="G9" s="29">
        <f>IFERROR((B9*4+C9*3+D9*2+(E9+F9)*1)/COUNTA('Raw Data'!$V$2:$V$30),0)</f>
        <v>3.2068965517241379</v>
      </c>
      <c r="H9" s="30">
        <f>IFERROR((D9+E9+F9)/COUNTA('Raw Data'!$V$2:$V$30),0)</f>
        <v>0.13793103448275862</v>
      </c>
      <c r="I9" s="32" t="str">
        <f t="shared" si="0"/>
        <v>Low</v>
      </c>
    </row>
    <row r="10" spans="1:9" x14ac:dyDescent="0.35">
      <c r="A10" s="31" t="s">
        <v>120</v>
      </c>
      <c r="B10" s="28">
        <f>COUNTIF('Raw Data'!$W$2:$W$30,"Very Confident")</f>
        <v>15</v>
      </c>
      <c r="C10" s="28">
        <f>COUNTIF('Raw Data'!$W$2:$W$30,"Confident")</f>
        <v>11</v>
      </c>
      <c r="D10" s="28">
        <f>COUNTIF('Raw Data'!$W$2:$W$30,"Neutral")</f>
        <v>3</v>
      </c>
      <c r="E10" s="28">
        <f>COUNTIF('Raw Data'!$W$2:$W$30,"Need More Knowledge")</f>
        <v>0</v>
      </c>
      <c r="F10" s="28">
        <f>COUNTIF('Raw Data'!$W$2:$W$30,"Not Confident")</f>
        <v>0</v>
      </c>
      <c r="G10" s="29">
        <f>IFERROR((B10*4+C10*3+D10*2+(E10+F10)*1)/COUNTA('Raw Data'!$W$2:$W$30),0)</f>
        <v>3.4137931034482758</v>
      </c>
      <c r="H10" s="30">
        <f>IFERROR((D10+E10+F10)/COUNTA('Raw Data'!$W$2:$W$30),0)</f>
        <v>0.10344827586206896</v>
      </c>
      <c r="I10" s="32" t="str">
        <f t="shared" si="0"/>
        <v>Low</v>
      </c>
    </row>
    <row r="11" spans="1:9" x14ac:dyDescent="0.35">
      <c r="A11" s="31" t="s">
        <v>20</v>
      </c>
      <c r="B11" s="28">
        <f>COUNTIF('Raw Data'!$X$2:$X$30,"Very Confident")</f>
        <v>0</v>
      </c>
      <c r="C11" s="28">
        <f>COUNTIF('Raw Data'!$X$2:$X$30,"Confident")</f>
        <v>1</v>
      </c>
      <c r="D11" s="28">
        <f>COUNTIF('Raw Data'!$X$2:$X$30,"Neutral")</f>
        <v>11</v>
      </c>
      <c r="E11" s="28">
        <f>COUNTIF('Raw Data'!$X$2:$X$30,"Need More Knowledge")</f>
        <v>14</v>
      </c>
      <c r="F11" s="28">
        <f>COUNTIF('Raw Data'!$X$2:$X$30,"Not Confident")</f>
        <v>3</v>
      </c>
      <c r="G11" s="29">
        <f>IFERROR((B11*4+C11*3+D11*2+(E11+F11)*1)/COUNTA('Raw Data'!$X$2:$X$30),0)</f>
        <v>1.4482758620689655</v>
      </c>
      <c r="H11" s="30">
        <f>IFERROR((D11+E11+F11)/COUNTA('Raw Data'!$X$2:$X$30),0)</f>
        <v>0.96551724137931039</v>
      </c>
      <c r="I11" s="32" t="str">
        <f t="shared" si="0"/>
        <v>Critical</v>
      </c>
    </row>
    <row r="12" spans="1:9" x14ac:dyDescent="0.35">
      <c r="A12" s="14" t="s">
        <v>25</v>
      </c>
      <c r="B12" s="36">
        <f>COUNTIF('Raw Data'!$Y$2:$Y$30,"Very Confident")</f>
        <v>0</v>
      </c>
      <c r="C12" s="36">
        <f>COUNTIF('Raw Data'!$Y$2:$Y$30,"Confident")</f>
        <v>1</v>
      </c>
      <c r="D12" s="36">
        <f>COUNTIF('Raw Data'!$Y$2:$Y$30,"Neutral")</f>
        <v>10</v>
      </c>
      <c r="E12" s="36">
        <f>COUNTIF('Raw Data'!$Y$2:$Y$30,"Need More Knowledge")</f>
        <v>15</v>
      </c>
      <c r="F12" s="36">
        <f>COUNTIF('Raw Data'!$Y$2:$Y$30,"Not Confident")</f>
        <v>3</v>
      </c>
      <c r="G12" s="37">
        <f>IFERROR((B12*4+C12*3+D12*2+(E12+F12)*1)/COUNTA('Raw Data'!$Y$2:$Y$30),0)</f>
        <v>1.4137931034482758</v>
      </c>
      <c r="H12" s="38">
        <f>IFERROR((D12+E12+F12)/COUNTA('Raw Data'!$Y$2:$Y$30),0)</f>
        <v>0.96551724137931039</v>
      </c>
      <c r="I12" s="39" t="str">
        <f t="shared" si="0"/>
        <v>Critical</v>
      </c>
    </row>
  </sheetData>
  <pageMargins left="0.75" right="0.75" top="1" bottom="1" header="0.5" footer="0.5"/>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30"/>
  <sheetViews>
    <sheetView workbookViewId="0">
      <pane ySplit="1" topLeftCell="A6" activePane="bottomLeft" state="frozen"/>
      <selection pane="bottomLeft" activeCell="T19" sqref="T19"/>
    </sheetView>
  </sheetViews>
  <sheetFormatPr defaultRowHeight="14.5" x14ac:dyDescent="0.35"/>
  <cols>
    <col min="1" max="3" width="18" customWidth="1"/>
    <col min="4" max="4" width="22.1796875" customWidth="1"/>
    <col min="5" max="5" width="18" customWidth="1"/>
    <col min="6" max="6" width="19.1796875" customWidth="1"/>
    <col min="7" max="7" width="22.1796875" customWidth="1"/>
    <col min="8" max="8" width="18" customWidth="1"/>
    <col min="9" max="9" width="20.453125" customWidth="1"/>
    <col min="10" max="10" width="24.81640625" customWidth="1"/>
    <col min="11" max="13" width="18" customWidth="1"/>
    <col min="14" max="14" width="24.453125" customWidth="1"/>
    <col min="15" max="15" width="23.453125" customWidth="1"/>
    <col min="16" max="17" width="18" customWidth="1"/>
  </cols>
  <sheetData>
    <row r="1" spans="1:17" x14ac:dyDescent="0.35">
      <c r="A1" s="33" t="s">
        <v>99</v>
      </c>
      <c r="B1" s="34" t="s">
        <v>343</v>
      </c>
      <c r="C1" s="34" t="s">
        <v>113</v>
      </c>
      <c r="D1" s="34" t="s">
        <v>114</v>
      </c>
      <c r="E1" s="34" t="s">
        <v>115</v>
      </c>
      <c r="F1" s="34" t="s">
        <v>116</v>
      </c>
      <c r="G1" s="34" t="s">
        <v>117</v>
      </c>
      <c r="H1" s="34" t="s">
        <v>118</v>
      </c>
      <c r="I1" s="34" t="s">
        <v>29</v>
      </c>
      <c r="J1" s="34" t="s">
        <v>119</v>
      </c>
      <c r="K1" s="34" t="s">
        <v>120</v>
      </c>
      <c r="L1" s="34" t="s">
        <v>20</v>
      </c>
      <c r="M1" s="34" t="s">
        <v>25</v>
      </c>
      <c r="N1" s="34" t="s">
        <v>344</v>
      </c>
      <c r="O1" s="34" t="s">
        <v>345</v>
      </c>
      <c r="P1" s="34" t="s">
        <v>346</v>
      </c>
      <c r="Q1" s="35" t="s">
        <v>347</v>
      </c>
    </row>
    <row r="2" spans="1:17" x14ac:dyDescent="0.35">
      <c r="A2" s="31" t="str">
        <f>'Raw Data'!A2</f>
        <v>Atuke Onoriode</v>
      </c>
      <c r="B2" s="27" t="str">
        <f>'Raw Data'!C2</f>
        <v>6–12 months</v>
      </c>
      <c r="C2" s="27" t="str">
        <f>'Raw Data'!O2</f>
        <v>Very Confident</v>
      </c>
      <c r="D2" s="27" t="str">
        <f>'Raw Data'!P2</f>
        <v>Very Confident</v>
      </c>
      <c r="E2" s="27" t="str">
        <f>'Raw Data'!Q2</f>
        <v>Very Confident</v>
      </c>
      <c r="F2" s="27" t="str">
        <f>'Raw Data'!R2</f>
        <v>Very Confident</v>
      </c>
      <c r="G2" s="27" t="str">
        <f>'Raw Data'!S2</f>
        <v>Very Confident</v>
      </c>
      <c r="H2" s="27" t="str">
        <f>'Raw Data'!T2</f>
        <v>Very Confident</v>
      </c>
      <c r="I2" s="27" t="str">
        <f>'Raw Data'!U2</f>
        <v>Very Confident</v>
      </c>
      <c r="J2" s="27" t="str">
        <f>'Raw Data'!V2</f>
        <v>Very Confident</v>
      </c>
      <c r="K2" s="27" t="str">
        <f>'Raw Data'!W2</f>
        <v>Very Confident</v>
      </c>
      <c r="L2" s="27" t="str">
        <f>'Raw Data'!X2</f>
        <v>Neutral</v>
      </c>
      <c r="M2" s="27" t="str">
        <f>'Raw Data'!Y2</f>
        <v>Neutral</v>
      </c>
      <c r="N2" s="40">
        <f t="shared" ref="N2:N30" si="0">AVERAGE(IF(C2="Very Confident",4,IF(C2="Confident",3,IF(C2="Neutral",2,IF(OR(C2="Need More Knowledge",C2="Not Confident"),1,0)))),IF(D2="Very Confident",4,IF(D2="Confident",3,IF(D2="Neutral",2,IF(OR(D2="Need More Knowledge",D2="Not Confident"),1,0)))),IF(E2="Very Confident",4,IF(E2="Confident",3,IF(E2="Neutral",2,IF(OR(E2="Need More Knowledge",E2="Not Confident"),1,0)))),IF(F2="Very Confident",4,IF(F2="Confident",3,IF(F2="Neutral",2,IF(OR(F2="Need More Knowledge",F2="Not Confident"),1,0)))),IF(G2="Very Confident",4,IF(G2="Confident",3,IF(G2="Neutral",2,IF(OR(G2="Need More Knowledge",G2="Not Confident"),1,0)))),IF(H2="Very Confident",4,IF(H2="Confident",3,IF(H2="Neutral",2,IF(OR(H2="Need More Knowledge",H2="Not Confident"),1,0)))),IF(I2="Very Confident",4,IF(I2="Confident",3,IF(I2="Neutral",2,IF(OR(I2="Need More Knowledge",I2="Not Confident"),1,0)))),IF(J2="Very Confident",4,IF(J2="Confident",3,IF(J2="Neutral",2,IF(OR(J2="Need More Knowledge",J2="Not Confident"),1,0)))),IF(K2="Very Confident",4,IF(K2="Confident",3,IF(K2="Neutral",2,IF(OR(K2="Need More Knowledge",K2="Not Confident"),1,0)))),IF(L2="Very Confident",4,IF(L2="Confident",3,IF(L2="Neutral",2,IF(OR(L2="Need More Knowledge",L2="Not Confident"),1,0)))),IF(M2="Very Confident",4,IF(M2="Confident",3,IF(M2="Neutral",2,IF(OR(M2="Need More Knowledge",M2="Not Confident"),1,0)))))</f>
        <v>3.6363636363636362</v>
      </c>
      <c r="O2" s="27">
        <f t="shared" ref="O2:O30" si="1">SUM(IF(OR(C2="Neutral",C2="Need More Knowledge",C2="Not Confident"),1,0),IF(OR(D2="Neutral",D2="Need More Knowledge",D2="Not Confident"),1,0),IF(OR(E2="Neutral",E2="Need More Knowledge",E2="Not Confident"),1,0),IF(OR(F2="Neutral",F2="Need More Knowledge",F2="Not Confident"),1,0),IF(OR(G2="Neutral",G2="Need More Knowledge",G2="Not Confident"),1,0),IF(OR(H2="Neutral",H2="Need More Knowledge",H2="Not Confident"),1,0),IF(OR(I2="Neutral",I2="Need More Knowledge",I2="Not Confident"),1,0),IF(OR(J2="Neutral",J2="Need More Knowledge",J2="Not Confident"),1,0),IF(OR(K2="Neutral",K2="Need More Knowledge",K2="Not Confident"),1,0),IF(OR(L2="Neutral",L2="Need More Knowledge",L2="Not Confident"),1,0),IF(OR(M2="Neutral",M2="Need More Knowledge",M2="Not Confident"),1,0))</f>
        <v>2</v>
      </c>
      <c r="P2" s="41">
        <f t="shared" ref="P2:P30" si="2">O2/11</f>
        <v>0.18181818181818182</v>
      </c>
      <c r="Q2" s="42" t="str">
        <f t="shared" ref="Q2:Q30" si="3">IF(P2&gt;=0.4,"High Gap",IF(P2&gt;=0.2,"Moderate Gap","Low Gap"))</f>
        <v>Low Gap</v>
      </c>
    </row>
    <row r="3" spans="1:17" x14ac:dyDescent="0.35">
      <c r="A3" s="31" t="str">
        <f>'Raw Data'!A3</f>
        <v>Ifechukwu Ozuluonye</v>
      </c>
      <c r="B3" s="27" t="str">
        <f>'Raw Data'!C3</f>
        <v>3–6 months</v>
      </c>
      <c r="C3" s="27" t="str">
        <f>'Raw Data'!O3</f>
        <v>Very Confident</v>
      </c>
      <c r="D3" s="27" t="str">
        <f>'Raw Data'!P3</f>
        <v>Very Confident</v>
      </c>
      <c r="E3" s="27" t="str">
        <f>'Raw Data'!Q3</f>
        <v>Very Confident</v>
      </c>
      <c r="F3" s="27" t="str">
        <f>'Raw Data'!R3</f>
        <v>Very Confident</v>
      </c>
      <c r="G3" s="27" t="str">
        <f>'Raw Data'!S3</f>
        <v>Very Confident</v>
      </c>
      <c r="H3" s="27" t="str">
        <f>'Raw Data'!T3</f>
        <v>Very Confident</v>
      </c>
      <c r="I3" s="27" t="str">
        <f>'Raw Data'!U3</f>
        <v>Very Confident</v>
      </c>
      <c r="J3" s="27" t="str">
        <f>'Raw Data'!V3</f>
        <v>Confident</v>
      </c>
      <c r="K3" s="27" t="str">
        <f>'Raw Data'!W3</f>
        <v>Confident</v>
      </c>
      <c r="L3" s="27" t="str">
        <f>'Raw Data'!X3</f>
        <v>Neutral</v>
      </c>
      <c r="M3" s="27" t="str">
        <f>'Raw Data'!Y3</f>
        <v>Neutral</v>
      </c>
      <c r="N3" s="40">
        <f t="shared" si="0"/>
        <v>3.4545454545454546</v>
      </c>
      <c r="O3" s="27">
        <f t="shared" si="1"/>
        <v>2</v>
      </c>
      <c r="P3" s="41">
        <f t="shared" si="2"/>
        <v>0.18181818181818182</v>
      </c>
      <c r="Q3" s="42" t="str">
        <f t="shared" si="3"/>
        <v>Low Gap</v>
      </c>
    </row>
    <row r="4" spans="1:17" x14ac:dyDescent="0.35">
      <c r="A4" s="31" t="str">
        <f>'Raw Data'!A4</f>
        <v>Thelma Ozichi</v>
      </c>
      <c r="B4" s="27" t="str">
        <f>'Raw Data'!C4</f>
        <v>3–6 months</v>
      </c>
      <c r="C4" s="27" t="str">
        <f>'Raw Data'!O4</f>
        <v>Very Confident</v>
      </c>
      <c r="D4" s="27" t="str">
        <f>'Raw Data'!P4</f>
        <v>Very Confident</v>
      </c>
      <c r="E4" s="27" t="str">
        <f>'Raw Data'!Q4</f>
        <v>Very Confident</v>
      </c>
      <c r="F4" s="27" t="str">
        <f>'Raw Data'!R4</f>
        <v>Very Confident</v>
      </c>
      <c r="G4" s="27" t="str">
        <f>'Raw Data'!S4</f>
        <v>Very Confident</v>
      </c>
      <c r="H4" s="27" t="str">
        <f>'Raw Data'!T4</f>
        <v>Very Confident</v>
      </c>
      <c r="I4" s="27" t="str">
        <f>'Raw Data'!U4</f>
        <v>Very Confident</v>
      </c>
      <c r="J4" s="27" t="str">
        <f>'Raw Data'!V4</f>
        <v>Very Confident</v>
      </c>
      <c r="K4" s="27" t="str">
        <f>'Raw Data'!W4</f>
        <v>Very Confident</v>
      </c>
      <c r="L4" s="27" t="str">
        <f>'Raw Data'!X4</f>
        <v>Need More Knowledge</v>
      </c>
      <c r="M4" s="27" t="str">
        <f>'Raw Data'!Y4</f>
        <v>Need More Knowledge</v>
      </c>
      <c r="N4" s="40">
        <f t="shared" si="0"/>
        <v>3.4545454545454546</v>
      </c>
      <c r="O4" s="27">
        <f t="shared" si="1"/>
        <v>2</v>
      </c>
      <c r="P4" s="41">
        <f t="shared" si="2"/>
        <v>0.18181818181818182</v>
      </c>
      <c r="Q4" s="42" t="str">
        <f t="shared" si="3"/>
        <v>Low Gap</v>
      </c>
    </row>
    <row r="5" spans="1:17" x14ac:dyDescent="0.35">
      <c r="A5" s="31" t="str">
        <f>'Raw Data'!A5</f>
        <v>Queen Ugbebor</v>
      </c>
      <c r="B5" s="27" t="str">
        <f>'Raw Data'!C5</f>
        <v>3–6 months</v>
      </c>
      <c r="C5" s="27" t="str">
        <f>'Raw Data'!O5</f>
        <v>Very Confident</v>
      </c>
      <c r="D5" s="27" t="str">
        <f>'Raw Data'!P5</f>
        <v>Very Confident</v>
      </c>
      <c r="E5" s="27" t="str">
        <f>'Raw Data'!Q5</f>
        <v>Very Confident</v>
      </c>
      <c r="F5" s="27" t="str">
        <f>'Raw Data'!R5</f>
        <v>Very Confident</v>
      </c>
      <c r="G5" s="27" t="str">
        <f>'Raw Data'!S5</f>
        <v>Very Confident</v>
      </c>
      <c r="H5" s="27" t="str">
        <f>'Raw Data'!T5</f>
        <v>Neutral</v>
      </c>
      <c r="I5" s="27" t="str">
        <f>'Raw Data'!U5</f>
        <v>Neutral</v>
      </c>
      <c r="J5" s="27" t="str">
        <f>'Raw Data'!V5</f>
        <v>Very Confident</v>
      </c>
      <c r="K5" s="27" t="str">
        <f>'Raw Data'!W5</f>
        <v>Very Confident</v>
      </c>
      <c r="L5" s="27" t="str">
        <f>'Raw Data'!X5</f>
        <v>Not Confident</v>
      </c>
      <c r="M5" s="27" t="str">
        <f>'Raw Data'!Y5</f>
        <v>Not Confident</v>
      </c>
      <c r="N5" s="40">
        <f t="shared" si="0"/>
        <v>3.0909090909090908</v>
      </c>
      <c r="O5" s="27">
        <f t="shared" si="1"/>
        <v>4</v>
      </c>
      <c r="P5" s="41">
        <f t="shared" si="2"/>
        <v>0.36363636363636365</v>
      </c>
      <c r="Q5" s="42" t="str">
        <f t="shared" si="3"/>
        <v>Moderate Gap</v>
      </c>
    </row>
    <row r="6" spans="1:17" x14ac:dyDescent="0.35">
      <c r="A6" s="54" t="str">
        <f>'Raw Data'!A6</f>
        <v>Anthony Rufus</v>
      </c>
      <c r="B6" s="55" t="str">
        <f>'Raw Data'!C6</f>
        <v>3–6 months</v>
      </c>
      <c r="C6" s="55" t="str">
        <f>'Raw Data'!O6</f>
        <v>Very Confident</v>
      </c>
      <c r="D6" s="55" t="str">
        <f>'Raw Data'!P6</f>
        <v>Very Confident</v>
      </c>
      <c r="E6" s="55" t="str">
        <f>'Raw Data'!Q6</f>
        <v>Very Confident</v>
      </c>
      <c r="F6" s="55" t="str">
        <f>'Raw Data'!R6</f>
        <v>Confident</v>
      </c>
      <c r="G6" s="55" t="str">
        <f>'Raw Data'!S6</f>
        <v>Neutral</v>
      </c>
      <c r="H6" s="55" t="str">
        <f>'Raw Data'!T6</f>
        <v>Confident</v>
      </c>
      <c r="I6" s="55" t="str">
        <f>'Raw Data'!U6</f>
        <v>Need More Knowledge</v>
      </c>
      <c r="J6" s="55" t="str">
        <f>'Raw Data'!V6</f>
        <v>Need More Knowledge</v>
      </c>
      <c r="K6" s="55" t="str">
        <f>'Raw Data'!W6</f>
        <v>Neutral</v>
      </c>
      <c r="L6" s="55" t="str">
        <f>'Raw Data'!X6</f>
        <v>Not Confident</v>
      </c>
      <c r="M6" s="55" t="str">
        <f>'Raw Data'!Y6</f>
        <v>Not Confident</v>
      </c>
      <c r="N6" s="56">
        <f t="shared" si="0"/>
        <v>2.3636363636363638</v>
      </c>
      <c r="O6" s="55">
        <f t="shared" si="1"/>
        <v>6</v>
      </c>
      <c r="P6" s="57">
        <f t="shared" si="2"/>
        <v>0.54545454545454541</v>
      </c>
      <c r="Q6" s="58" t="str">
        <f t="shared" si="3"/>
        <v>High Gap</v>
      </c>
    </row>
    <row r="7" spans="1:17" x14ac:dyDescent="0.35">
      <c r="A7" s="31" t="str">
        <f>'Raw Data'!A7</f>
        <v>Blessing Obinna</v>
      </c>
      <c r="B7" s="27" t="str">
        <f>'Raw Data'!C7</f>
        <v>3–6 months</v>
      </c>
      <c r="C7" s="27" t="str">
        <f>'Raw Data'!O7</f>
        <v>Confident</v>
      </c>
      <c r="D7" s="27" t="str">
        <f>'Raw Data'!P7</f>
        <v>Confident</v>
      </c>
      <c r="E7" s="27" t="str">
        <f>'Raw Data'!Q7</f>
        <v>Confident</v>
      </c>
      <c r="F7" s="27" t="str">
        <f>'Raw Data'!R7</f>
        <v>Confident</v>
      </c>
      <c r="G7" s="27" t="str">
        <f>'Raw Data'!S7</f>
        <v>Confident</v>
      </c>
      <c r="H7" s="27" t="str">
        <f>'Raw Data'!T7</f>
        <v>Confident</v>
      </c>
      <c r="I7" s="27" t="str">
        <f>'Raw Data'!U7</f>
        <v>Confident</v>
      </c>
      <c r="J7" s="27" t="str">
        <f>'Raw Data'!V7</f>
        <v>Confident</v>
      </c>
      <c r="K7" s="27" t="str">
        <f>'Raw Data'!W7</f>
        <v>Confident</v>
      </c>
      <c r="L7" s="27" t="str">
        <f>'Raw Data'!X7</f>
        <v>Need More Knowledge</v>
      </c>
      <c r="M7" s="27" t="str">
        <f>'Raw Data'!Y7</f>
        <v>Need More Knowledge</v>
      </c>
      <c r="N7" s="40">
        <f t="shared" si="0"/>
        <v>2.6363636363636362</v>
      </c>
      <c r="O7" s="27">
        <f t="shared" si="1"/>
        <v>2</v>
      </c>
      <c r="P7" s="41">
        <f t="shared" si="2"/>
        <v>0.18181818181818182</v>
      </c>
      <c r="Q7" s="42" t="str">
        <f t="shared" si="3"/>
        <v>Low Gap</v>
      </c>
    </row>
    <row r="8" spans="1:17" x14ac:dyDescent="0.35">
      <c r="A8" s="31" t="str">
        <f>'Raw Data'!A8</f>
        <v>Kenneth Obianyo</v>
      </c>
      <c r="B8" s="27" t="str">
        <f>'Raw Data'!C8</f>
        <v>6–12 months</v>
      </c>
      <c r="C8" s="27" t="str">
        <f>'Raw Data'!O8</f>
        <v>Very Confident</v>
      </c>
      <c r="D8" s="27" t="str">
        <f>'Raw Data'!P8</f>
        <v>Very Confident</v>
      </c>
      <c r="E8" s="27" t="str">
        <f>'Raw Data'!Q8</f>
        <v>Very Confident</v>
      </c>
      <c r="F8" s="27" t="str">
        <f>'Raw Data'!R8</f>
        <v>Very Confident</v>
      </c>
      <c r="G8" s="27" t="str">
        <f>'Raw Data'!S8</f>
        <v>Very Confident</v>
      </c>
      <c r="H8" s="27" t="str">
        <f>'Raw Data'!T8</f>
        <v>Very Confident</v>
      </c>
      <c r="I8" s="27" t="str">
        <f>'Raw Data'!U8</f>
        <v>Very Confident</v>
      </c>
      <c r="J8" s="27" t="str">
        <f>'Raw Data'!V8</f>
        <v>Very Confident</v>
      </c>
      <c r="K8" s="27" t="str">
        <f>'Raw Data'!W8</f>
        <v>Very Confident</v>
      </c>
      <c r="L8" s="27" t="str">
        <f>'Raw Data'!X8</f>
        <v>Neutral</v>
      </c>
      <c r="M8" s="27" t="str">
        <f>'Raw Data'!Y8</f>
        <v>Neutral</v>
      </c>
      <c r="N8" s="40">
        <f t="shared" si="0"/>
        <v>3.6363636363636362</v>
      </c>
      <c r="O8" s="27">
        <f t="shared" si="1"/>
        <v>2</v>
      </c>
      <c r="P8" s="41">
        <f t="shared" si="2"/>
        <v>0.18181818181818182</v>
      </c>
      <c r="Q8" s="42" t="str">
        <f t="shared" si="3"/>
        <v>Low Gap</v>
      </c>
    </row>
    <row r="9" spans="1:17" x14ac:dyDescent="0.35">
      <c r="A9" s="31" t="str">
        <f>'Raw Data'!A9</f>
        <v>Alfred Malachy</v>
      </c>
      <c r="B9" s="27" t="str">
        <f>'Raw Data'!C9</f>
        <v>3–6 months</v>
      </c>
      <c r="C9" s="27" t="str">
        <f>'Raw Data'!O9</f>
        <v>Very Confident</v>
      </c>
      <c r="D9" s="27" t="str">
        <f>'Raw Data'!P9</f>
        <v>Very Confident</v>
      </c>
      <c r="E9" s="27" t="str">
        <f>'Raw Data'!Q9</f>
        <v>Very Confident</v>
      </c>
      <c r="F9" s="27" t="str">
        <f>'Raw Data'!R9</f>
        <v>Neutral</v>
      </c>
      <c r="G9" s="27" t="str">
        <f>'Raw Data'!S9</f>
        <v>Very Confident</v>
      </c>
      <c r="H9" s="27" t="str">
        <f>'Raw Data'!T9</f>
        <v>Very Confident</v>
      </c>
      <c r="I9" s="27" t="str">
        <f>'Raw Data'!U9</f>
        <v>Confident</v>
      </c>
      <c r="J9" s="27" t="str">
        <f>'Raw Data'!V9</f>
        <v>Confident</v>
      </c>
      <c r="K9" s="27" t="str">
        <f>'Raw Data'!W9</f>
        <v>Confident</v>
      </c>
      <c r="L9" s="27" t="str">
        <f>'Raw Data'!X9</f>
        <v>Need More Knowledge</v>
      </c>
      <c r="M9" s="27" t="str">
        <f>'Raw Data'!Y9</f>
        <v>Need More Knowledge</v>
      </c>
      <c r="N9" s="40">
        <f t="shared" si="0"/>
        <v>3</v>
      </c>
      <c r="O9" s="27">
        <f t="shared" si="1"/>
        <v>3</v>
      </c>
      <c r="P9" s="41">
        <f t="shared" si="2"/>
        <v>0.27272727272727271</v>
      </c>
      <c r="Q9" s="42" t="str">
        <f t="shared" si="3"/>
        <v>Moderate Gap</v>
      </c>
    </row>
    <row r="10" spans="1:17" x14ac:dyDescent="0.35">
      <c r="A10" s="31" t="str">
        <f>'Raw Data'!A10</f>
        <v>Simon Rosemary</v>
      </c>
      <c r="B10" s="27" t="str">
        <f>'Raw Data'!C10</f>
        <v>3–6 months</v>
      </c>
      <c r="C10" s="27" t="str">
        <f>'Raw Data'!O10</f>
        <v>Confident</v>
      </c>
      <c r="D10" s="27" t="str">
        <f>'Raw Data'!P10</f>
        <v>Neutral</v>
      </c>
      <c r="E10" s="27" t="str">
        <f>'Raw Data'!Q10</f>
        <v>Very Confident</v>
      </c>
      <c r="F10" s="27" t="str">
        <f>'Raw Data'!R10</f>
        <v>Confident</v>
      </c>
      <c r="G10" s="27" t="str">
        <f>'Raw Data'!S10</f>
        <v>Confident</v>
      </c>
      <c r="H10" s="27" t="str">
        <f>'Raw Data'!T10</f>
        <v>Very Confident</v>
      </c>
      <c r="I10" s="27" t="str">
        <f>'Raw Data'!U10</f>
        <v>Very Confident</v>
      </c>
      <c r="J10" s="27" t="str">
        <f>'Raw Data'!V10</f>
        <v>Very Confident</v>
      </c>
      <c r="K10" s="27" t="str">
        <f>'Raw Data'!W10</f>
        <v>Confident</v>
      </c>
      <c r="L10" s="27" t="str">
        <f>'Raw Data'!X10</f>
        <v>Need More Knowledge</v>
      </c>
      <c r="M10" s="27" t="str">
        <f>'Raw Data'!Y10</f>
        <v>Need More Knowledge</v>
      </c>
      <c r="N10" s="40">
        <f t="shared" si="0"/>
        <v>2.9090909090909092</v>
      </c>
      <c r="O10" s="27">
        <f t="shared" si="1"/>
        <v>3</v>
      </c>
      <c r="P10" s="41">
        <f t="shared" si="2"/>
        <v>0.27272727272727271</v>
      </c>
      <c r="Q10" s="42" t="str">
        <f t="shared" si="3"/>
        <v>Moderate Gap</v>
      </c>
    </row>
    <row r="11" spans="1:17" x14ac:dyDescent="0.35">
      <c r="A11" s="54" t="str">
        <f>'Raw Data'!A11</f>
        <v>Felicia Ejoor</v>
      </c>
      <c r="B11" s="55" t="str">
        <f>'Raw Data'!C11</f>
        <v>3–6 months</v>
      </c>
      <c r="C11" s="55" t="str">
        <f>'Raw Data'!O11</f>
        <v>Confident</v>
      </c>
      <c r="D11" s="55" t="str">
        <f>'Raw Data'!P11</f>
        <v>Very Confident</v>
      </c>
      <c r="E11" s="55" t="str">
        <f>'Raw Data'!Q11</f>
        <v>Very Confident</v>
      </c>
      <c r="F11" s="55" t="str">
        <f>'Raw Data'!R11</f>
        <v>Very Confident</v>
      </c>
      <c r="G11" s="55" t="str">
        <f>'Raw Data'!S11</f>
        <v>Very Confident</v>
      </c>
      <c r="H11" s="55" t="str">
        <f>'Raw Data'!T11</f>
        <v>Confident</v>
      </c>
      <c r="I11" s="55" t="str">
        <f>'Raw Data'!U11</f>
        <v>Neutral</v>
      </c>
      <c r="J11" s="55" t="str">
        <f>'Raw Data'!V11</f>
        <v>Neutral</v>
      </c>
      <c r="K11" s="55" t="str">
        <f>'Raw Data'!W11</f>
        <v>Neutral</v>
      </c>
      <c r="L11" s="55" t="str">
        <f>'Raw Data'!X11</f>
        <v>Need More Knowledge</v>
      </c>
      <c r="M11" s="55" t="str">
        <f>'Raw Data'!Y11</f>
        <v>Need More Knowledge</v>
      </c>
      <c r="N11" s="56">
        <f t="shared" si="0"/>
        <v>2.7272727272727271</v>
      </c>
      <c r="O11" s="55">
        <f t="shared" si="1"/>
        <v>5</v>
      </c>
      <c r="P11" s="57">
        <f t="shared" si="2"/>
        <v>0.45454545454545453</v>
      </c>
      <c r="Q11" s="58" t="str">
        <f t="shared" si="3"/>
        <v>High Gap</v>
      </c>
    </row>
    <row r="12" spans="1:17" x14ac:dyDescent="0.35">
      <c r="A12" s="31" t="str">
        <f>'Raw Data'!A12</f>
        <v>Larry Eduwaye</v>
      </c>
      <c r="B12" s="27" t="str">
        <f>'Raw Data'!C12</f>
        <v>3–6 months</v>
      </c>
      <c r="C12" s="27" t="str">
        <f>'Raw Data'!O12</f>
        <v>Very Confident</v>
      </c>
      <c r="D12" s="27" t="str">
        <f>'Raw Data'!P12</f>
        <v>Very Confident</v>
      </c>
      <c r="E12" s="27" t="str">
        <f>'Raw Data'!Q12</f>
        <v>Very Confident</v>
      </c>
      <c r="F12" s="27" t="str">
        <f>'Raw Data'!R12</f>
        <v>Very Confident</v>
      </c>
      <c r="G12" s="27" t="str">
        <f>'Raw Data'!S12</f>
        <v>Very Confident</v>
      </c>
      <c r="H12" s="27" t="str">
        <f>'Raw Data'!T12</f>
        <v>Confident</v>
      </c>
      <c r="I12" s="27" t="str">
        <f>'Raw Data'!U12</f>
        <v>Neutral</v>
      </c>
      <c r="J12" s="27" t="str">
        <f>'Raw Data'!V12</f>
        <v>Confident</v>
      </c>
      <c r="K12" s="27" t="str">
        <f>'Raw Data'!W12</f>
        <v>Confident</v>
      </c>
      <c r="L12" s="27" t="str">
        <f>'Raw Data'!X12</f>
        <v>Not Confident</v>
      </c>
      <c r="M12" s="27" t="str">
        <f>'Raw Data'!Y12</f>
        <v>Not Confident</v>
      </c>
      <c r="N12" s="40">
        <f t="shared" si="0"/>
        <v>3</v>
      </c>
      <c r="O12" s="27">
        <f t="shared" si="1"/>
        <v>3</v>
      </c>
      <c r="P12" s="41">
        <f t="shared" si="2"/>
        <v>0.27272727272727271</v>
      </c>
      <c r="Q12" s="42" t="str">
        <f t="shared" si="3"/>
        <v>Moderate Gap</v>
      </c>
    </row>
    <row r="13" spans="1:17" x14ac:dyDescent="0.35">
      <c r="A13" s="31" t="str">
        <f>'Raw Data'!A13</f>
        <v>Adeyemi Adedeji</v>
      </c>
      <c r="B13" s="27" t="str">
        <f>'Raw Data'!C13</f>
        <v>3–6 months</v>
      </c>
      <c r="C13" s="27" t="str">
        <f>'Raw Data'!O13</f>
        <v>Very Confident</v>
      </c>
      <c r="D13" s="27" t="str">
        <f>'Raw Data'!P13</f>
        <v>Very Confident</v>
      </c>
      <c r="E13" s="27" t="str">
        <f>'Raw Data'!Q13</f>
        <v>Very Confident</v>
      </c>
      <c r="F13" s="27" t="str">
        <f>'Raw Data'!R13</f>
        <v>Very Confident</v>
      </c>
      <c r="G13" s="27" t="str">
        <f>'Raw Data'!S13</f>
        <v>Very Confident</v>
      </c>
      <c r="H13" s="27" t="str">
        <f>'Raw Data'!T13</f>
        <v>Very Confident</v>
      </c>
      <c r="I13" s="27" t="str">
        <f>'Raw Data'!U13</f>
        <v>Confident</v>
      </c>
      <c r="J13" s="27" t="str">
        <f>'Raw Data'!V13</f>
        <v>Confident</v>
      </c>
      <c r="K13" s="27" t="str">
        <f>'Raw Data'!W13</f>
        <v>Very Confident</v>
      </c>
      <c r="L13" s="27" t="str">
        <f>'Raw Data'!X13</f>
        <v>Neutral</v>
      </c>
      <c r="M13" s="27" t="str">
        <f>'Raw Data'!Y13</f>
        <v>Neutral</v>
      </c>
      <c r="N13" s="40">
        <f t="shared" si="0"/>
        <v>3.4545454545454546</v>
      </c>
      <c r="O13" s="27">
        <f t="shared" si="1"/>
        <v>2</v>
      </c>
      <c r="P13" s="41">
        <f t="shared" si="2"/>
        <v>0.18181818181818182</v>
      </c>
      <c r="Q13" s="42" t="str">
        <f t="shared" si="3"/>
        <v>Low Gap</v>
      </c>
    </row>
    <row r="14" spans="1:17" x14ac:dyDescent="0.35">
      <c r="A14" s="31" t="str">
        <f>'Raw Data'!A14</f>
        <v>Kehinde Busayo</v>
      </c>
      <c r="B14" s="27" t="str">
        <f>'Raw Data'!C14</f>
        <v>6–12 months</v>
      </c>
      <c r="C14" s="27" t="str">
        <f>'Raw Data'!O14</f>
        <v>Very Confident</v>
      </c>
      <c r="D14" s="27" t="str">
        <f>'Raw Data'!P14</f>
        <v>Very Confident</v>
      </c>
      <c r="E14" s="27" t="str">
        <f>'Raw Data'!Q14</f>
        <v>Very Confident</v>
      </c>
      <c r="F14" s="27" t="str">
        <f>'Raw Data'!R14</f>
        <v>Very Confident</v>
      </c>
      <c r="G14" s="27" t="str">
        <f>'Raw Data'!S14</f>
        <v>Very Confident</v>
      </c>
      <c r="H14" s="27" t="str">
        <f>'Raw Data'!T14</f>
        <v>Confident</v>
      </c>
      <c r="I14" s="27" t="str">
        <f>'Raw Data'!U14</f>
        <v>Confident</v>
      </c>
      <c r="J14" s="27" t="str">
        <f>'Raw Data'!V14</f>
        <v>Confident</v>
      </c>
      <c r="K14" s="27" t="str">
        <f>'Raw Data'!W14</f>
        <v>Confident</v>
      </c>
      <c r="L14" s="27" t="str">
        <f>'Raw Data'!X14</f>
        <v>Need More Knowledge</v>
      </c>
      <c r="M14" s="27" t="str">
        <f>'Raw Data'!Y14</f>
        <v>Need More Knowledge</v>
      </c>
      <c r="N14" s="40">
        <f t="shared" si="0"/>
        <v>3.0909090909090908</v>
      </c>
      <c r="O14" s="27">
        <f t="shared" si="1"/>
        <v>2</v>
      </c>
      <c r="P14" s="41">
        <f t="shared" si="2"/>
        <v>0.18181818181818182</v>
      </c>
      <c r="Q14" s="42" t="str">
        <f t="shared" si="3"/>
        <v>Low Gap</v>
      </c>
    </row>
    <row r="15" spans="1:17" x14ac:dyDescent="0.35">
      <c r="A15" s="31" t="str">
        <f>'Raw Data'!A15</f>
        <v>Godwin Omotosho</v>
      </c>
      <c r="B15" s="27" t="str">
        <f>'Raw Data'!C15</f>
        <v>3–6 months</v>
      </c>
      <c r="C15" s="27" t="str">
        <f>'Raw Data'!O15</f>
        <v>Very Confident</v>
      </c>
      <c r="D15" s="27" t="str">
        <f>'Raw Data'!P15</f>
        <v>Very Confident</v>
      </c>
      <c r="E15" s="27" t="str">
        <f>'Raw Data'!Q15</f>
        <v>Very Confident</v>
      </c>
      <c r="F15" s="27" t="str">
        <f>'Raw Data'!R15</f>
        <v>Very Confident</v>
      </c>
      <c r="G15" s="27" t="str">
        <f>'Raw Data'!S15</f>
        <v>Very Confident</v>
      </c>
      <c r="H15" s="27" t="str">
        <f>'Raw Data'!T15</f>
        <v>Confident</v>
      </c>
      <c r="I15" s="27" t="str">
        <f>'Raw Data'!U15</f>
        <v>Neutral</v>
      </c>
      <c r="J15" s="27" t="str">
        <f>'Raw Data'!V15</f>
        <v>Confident</v>
      </c>
      <c r="K15" s="27" t="str">
        <f>'Raw Data'!W15</f>
        <v>Confident</v>
      </c>
      <c r="L15" s="27" t="str">
        <f>'Raw Data'!X15</f>
        <v>Need More Knowledge</v>
      </c>
      <c r="M15" s="27" t="str">
        <f>'Raw Data'!Y15</f>
        <v>Need More Knowledge</v>
      </c>
      <c r="N15" s="40">
        <f t="shared" si="0"/>
        <v>3</v>
      </c>
      <c r="O15" s="27">
        <f t="shared" si="1"/>
        <v>3</v>
      </c>
      <c r="P15" s="41">
        <f t="shared" si="2"/>
        <v>0.27272727272727271</v>
      </c>
      <c r="Q15" s="42" t="str">
        <f t="shared" si="3"/>
        <v>Moderate Gap</v>
      </c>
    </row>
    <row r="16" spans="1:17" x14ac:dyDescent="0.35">
      <c r="A16" s="31" t="str">
        <f>'Raw Data'!A16</f>
        <v>Samuel Adeniji</v>
      </c>
      <c r="B16" s="27" t="str">
        <f>'Raw Data'!C16</f>
        <v>Less than 3 months</v>
      </c>
      <c r="C16" s="27" t="str">
        <f>'Raw Data'!O16</f>
        <v>Very Confident</v>
      </c>
      <c r="D16" s="27" t="str">
        <f>'Raw Data'!P16</f>
        <v>Very Confident</v>
      </c>
      <c r="E16" s="27" t="str">
        <f>'Raw Data'!Q16</f>
        <v>Very Confident</v>
      </c>
      <c r="F16" s="27" t="str">
        <f>'Raw Data'!R16</f>
        <v>Very Confident</v>
      </c>
      <c r="G16" s="27" t="str">
        <f>'Raw Data'!S16</f>
        <v>Confident</v>
      </c>
      <c r="H16" s="27" t="str">
        <f>'Raw Data'!T16</f>
        <v>Confident</v>
      </c>
      <c r="I16" s="27" t="str">
        <f>'Raw Data'!U16</f>
        <v>Neutral</v>
      </c>
      <c r="J16" s="27" t="str">
        <f>'Raw Data'!V16</f>
        <v>Confident</v>
      </c>
      <c r="K16" s="27" t="str">
        <f>'Raw Data'!W16</f>
        <v>Confident</v>
      </c>
      <c r="L16" s="27" t="str">
        <f>'Raw Data'!X16</f>
        <v>Neutral</v>
      </c>
      <c r="M16" s="27" t="str">
        <f>'Raw Data'!Y16</f>
        <v>Neutral</v>
      </c>
      <c r="N16" s="40">
        <f t="shared" si="0"/>
        <v>3.0909090909090908</v>
      </c>
      <c r="O16" s="27">
        <f t="shared" si="1"/>
        <v>3</v>
      </c>
      <c r="P16" s="41">
        <f t="shared" si="2"/>
        <v>0.27272727272727271</v>
      </c>
      <c r="Q16" s="42" t="str">
        <f t="shared" si="3"/>
        <v>Moderate Gap</v>
      </c>
    </row>
    <row r="17" spans="1:17" x14ac:dyDescent="0.35">
      <c r="A17" s="31" t="str">
        <f>'Raw Data'!A17</f>
        <v>Elizabeth Echanah</v>
      </c>
      <c r="B17" s="27" t="str">
        <f>'Raw Data'!C17</f>
        <v>6–12 months</v>
      </c>
      <c r="C17" s="27" t="str">
        <f>'Raw Data'!O17</f>
        <v>Very Confident</v>
      </c>
      <c r="D17" s="27" t="str">
        <f>'Raw Data'!P17</f>
        <v>Very Confident</v>
      </c>
      <c r="E17" s="27" t="str">
        <f>'Raw Data'!Q17</f>
        <v>Very Confident</v>
      </c>
      <c r="F17" s="27" t="str">
        <f>'Raw Data'!R17</f>
        <v>Very Confident</v>
      </c>
      <c r="G17" s="27" t="str">
        <f>'Raw Data'!S17</f>
        <v>Very Confident</v>
      </c>
      <c r="H17" s="27" t="str">
        <f>'Raw Data'!T17</f>
        <v>Very Confident</v>
      </c>
      <c r="I17" s="27" t="str">
        <f>'Raw Data'!U17</f>
        <v>Confident</v>
      </c>
      <c r="J17" s="27" t="str">
        <f>'Raw Data'!V17</f>
        <v>Neutral</v>
      </c>
      <c r="K17" s="27" t="str">
        <f>'Raw Data'!W17</f>
        <v>Very Confident</v>
      </c>
      <c r="L17" s="27" t="str">
        <f>'Raw Data'!X17</f>
        <v>Neutral</v>
      </c>
      <c r="M17" s="27" t="str">
        <f>'Raw Data'!Y17</f>
        <v>Neutral</v>
      </c>
      <c r="N17" s="40">
        <f t="shared" si="0"/>
        <v>3.3636363636363638</v>
      </c>
      <c r="O17" s="27">
        <f t="shared" si="1"/>
        <v>3</v>
      </c>
      <c r="P17" s="41">
        <f t="shared" si="2"/>
        <v>0.27272727272727271</v>
      </c>
      <c r="Q17" s="42" t="str">
        <f t="shared" si="3"/>
        <v>Moderate Gap</v>
      </c>
    </row>
    <row r="18" spans="1:17" x14ac:dyDescent="0.35">
      <c r="A18" s="31" t="str">
        <f>'Raw Data'!A18</f>
        <v>Larry Eduwaye</v>
      </c>
      <c r="B18" s="27" t="str">
        <f>'Raw Data'!C18</f>
        <v>3–6 months</v>
      </c>
      <c r="C18" s="27" t="str">
        <f>'Raw Data'!O18</f>
        <v>Very Confident</v>
      </c>
      <c r="D18" s="27" t="str">
        <f>'Raw Data'!P18</f>
        <v>Very Confident</v>
      </c>
      <c r="E18" s="27" t="str">
        <f>'Raw Data'!Q18</f>
        <v>Very Confident</v>
      </c>
      <c r="F18" s="27" t="str">
        <f>'Raw Data'!R18</f>
        <v>Very Confident</v>
      </c>
      <c r="G18" s="27" t="str">
        <f>'Raw Data'!S18</f>
        <v>Very Confident</v>
      </c>
      <c r="H18" s="27" t="str">
        <f>'Raw Data'!T18</f>
        <v>Very Confident</v>
      </c>
      <c r="I18" s="27" t="str">
        <f>'Raw Data'!U18</f>
        <v>Confident</v>
      </c>
      <c r="J18" s="27" t="str">
        <f>'Raw Data'!V18</f>
        <v>Confident</v>
      </c>
      <c r="K18" s="27" t="str">
        <f>'Raw Data'!W18</f>
        <v>Very Confident</v>
      </c>
      <c r="L18" s="27" t="str">
        <f>'Raw Data'!X18</f>
        <v>Need More Knowledge</v>
      </c>
      <c r="M18" s="27" t="str">
        <f>'Raw Data'!Y18</f>
        <v>Need More Knowledge</v>
      </c>
      <c r="N18" s="40">
        <f t="shared" si="0"/>
        <v>3.2727272727272729</v>
      </c>
      <c r="O18" s="27">
        <f t="shared" si="1"/>
        <v>2</v>
      </c>
      <c r="P18" s="41">
        <f t="shared" si="2"/>
        <v>0.18181818181818182</v>
      </c>
      <c r="Q18" s="42" t="str">
        <f t="shared" si="3"/>
        <v>Low Gap</v>
      </c>
    </row>
    <row r="19" spans="1:17" x14ac:dyDescent="0.35">
      <c r="A19" s="31" t="str">
        <f>'Raw Data'!A19</f>
        <v>Alice Attah</v>
      </c>
      <c r="B19" s="27" t="str">
        <f>'Raw Data'!C19</f>
        <v>3–6 months</v>
      </c>
      <c r="C19" s="27" t="str">
        <f>'Raw Data'!O19</f>
        <v>Very Confident</v>
      </c>
      <c r="D19" s="27" t="str">
        <f>'Raw Data'!P19</f>
        <v>Very Confident</v>
      </c>
      <c r="E19" s="27" t="str">
        <f>'Raw Data'!Q19</f>
        <v>Very Confident</v>
      </c>
      <c r="F19" s="27" t="str">
        <f>'Raw Data'!R19</f>
        <v>Very Confident</v>
      </c>
      <c r="G19" s="27" t="str">
        <f>'Raw Data'!S19</f>
        <v>Very Confident</v>
      </c>
      <c r="H19" s="27" t="str">
        <f>'Raw Data'!T19</f>
        <v>Confident</v>
      </c>
      <c r="I19" s="27" t="str">
        <f>'Raw Data'!U19</f>
        <v>Confident</v>
      </c>
      <c r="J19" s="27" t="str">
        <f>'Raw Data'!V19</f>
        <v>Confident</v>
      </c>
      <c r="K19" s="27" t="str">
        <f>'Raw Data'!W19</f>
        <v>Very Confident</v>
      </c>
      <c r="L19" s="27" t="str">
        <f>'Raw Data'!X19</f>
        <v>Confident</v>
      </c>
      <c r="M19" s="27" t="str">
        <f>'Raw Data'!Y19</f>
        <v>Neutral</v>
      </c>
      <c r="N19" s="40">
        <f t="shared" si="0"/>
        <v>3.4545454545454546</v>
      </c>
      <c r="O19" s="27">
        <f t="shared" si="1"/>
        <v>1</v>
      </c>
      <c r="P19" s="41">
        <f t="shared" si="2"/>
        <v>9.0909090909090912E-2</v>
      </c>
      <c r="Q19" s="42" t="str">
        <f t="shared" si="3"/>
        <v>Low Gap</v>
      </c>
    </row>
    <row r="20" spans="1:17" x14ac:dyDescent="0.35">
      <c r="A20" s="31" t="str">
        <f>'Raw Data'!A20</f>
        <v>Rosemary Nnaji</v>
      </c>
      <c r="B20" s="27" t="str">
        <f>'Raw Data'!C20</f>
        <v>3–6 months</v>
      </c>
      <c r="C20" s="27" t="str">
        <f>'Raw Data'!O20</f>
        <v>Confident</v>
      </c>
      <c r="D20" s="27" t="str">
        <f>'Raw Data'!P20</f>
        <v>Confident</v>
      </c>
      <c r="E20" s="27" t="str">
        <f>'Raw Data'!Q20</f>
        <v>Confident</v>
      </c>
      <c r="F20" s="27" t="str">
        <f>'Raw Data'!R20</f>
        <v>Confident</v>
      </c>
      <c r="G20" s="27" t="str">
        <f>'Raw Data'!S20</f>
        <v>Confident</v>
      </c>
      <c r="H20" s="27" t="str">
        <f>'Raw Data'!T20</f>
        <v>Confident</v>
      </c>
      <c r="I20" s="27" t="str">
        <f>'Raw Data'!U20</f>
        <v>Confident</v>
      </c>
      <c r="J20" s="27" t="str">
        <f>'Raw Data'!V20</f>
        <v>Confident</v>
      </c>
      <c r="K20" s="27" t="str">
        <f>'Raw Data'!W20</f>
        <v>Confident</v>
      </c>
      <c r="L20" s="27" t="str">
        <f>'Raw Data'!X20</f>
        <v>Need More Knowledge</v>
      </c>
      <c r="M20" s="27" t="str">
        <f>'Raw Data'!Y20</f>
        <v>Need More Knowledge</v>
      </c>
      <c r="N20" s="40">
        <f t="shared" si="0"/>
        <v>2.6363636363636362</v>
      </c>
      <c r="O20" s="27">
        <f t="shared" si="1"/>
        <v>2</v>
      </c>
      <c r="P20" s="41">
        <f t="shared" si="2"/>
        <v>0.18181818181818182</v>
      </c>
      <c r="Q20" s="42" t="str">
        <f t="shared" si="3"/>
        <v>Low Gap</v>
      </c>
    </row>
    <row r="21" spans="1:17" x14ac:dyDescent="0.35">
      <c r="A21" s="31" t="str">
        <f>'Raw Data'!A21</f>
        <v>Gbaden Aondohemba</v>
      </c>
      <c r="B21" s="27" t="str">
        <f>'Raw Data'!C21</f>
        <v>3–6 months</v>
      </c>
      <c r="C21" s="27" t="str">
        <f>'Raw Data'!O21</f>
        <v>Very Confident</v>
      </c>
      <c r="D21" s="27" t="str">
        <f>'Raw Data'!P21</f>
        <v>Very Confident</v>
      </c>
      <c r="E21" s="27" t="str">
        <f>'Raw Data'!Q21</f>
        <v>Very Confident</v>
      </c>
      <c r="F21" s="27" t="str">
        <f>'Raw Data'!R21</f>
        <v>Very Confident</v>
      </c>
      <c r="G21" s="27" t="str">
        <f>'Raw Data'!S21</f>
        <v>Very Confident</v>
      </c>
      <c r="H21" s="27" t="str">
        <f>'Raw Data'!T21</f>
        <v>Very Confident</v>
      </c>
      <c r="I21" s="27" t="str">
        <f>'Raw Data'!U21</f>
        <v>Confident</v>
      </c>
      <c r="J21" s="27" t="str">
        <f>'Raw Data'!V21</f>
        <v>Confident</v>
      </c>
      <c r="K21" s="27" t="str">
        <f>'Raw Data'!W21</f>
        <v>Very Confident</v>
      </c>
      <c r="L21" s="27" t="str">
        <f>'Raw Data'!X21</f>
        <v>Neutral</v>
      </c>
      <c r="M21" s="27" t="str">
        <f>'Raw Data'!Y21</f>
        <v>Confident</v>
      </c>
      <c r="N21" s="40">
        <f t="shared" si="0"/>
        <v>3.5454545454545454</v>
      </c>
      <c r="O21" s="27">
        <f t="shared" si="1"/>
        <v>1</v>
      </c>
      <c r="P21" s="41">
        <f t="shared" si="2"/>
        <v>9.0909090909090912E-2</v>
      </c>
      <c r="Q21" s="42" t="str">
        <f t="shared" si="3"/>
        <v>Low Gap</v>
      </c>
    </row>
    <row r="22" spans="1:17" x14ac:dyDescent="0.35">
      <c r="A22" s="31" t="str">
        <f>'Raw Data'!A22</f>
        <v>Ruth Dickson</v>
      </c>
      <c r="B22" s="27" t="str">
        <f>'Raw Data'!C22</f>
        <v>3–6 months</v>
      </c>
      <c r="C22" s="27" t="str">
        <f>'Raw Data'!O22</f>
        <v>Very Confident</v>
      </c>
      <c r="D22" s="27" t="str">
        <f>'Raw Data'!P22</f>
        <v>Very Confident</v>
      </c>
      <c r="E22" s="27" t="str">
        <f>'Raw Data'!Q22</f>
        <v>Very Confident</v>
      </c>
      <c r="F22" s="27" t="str">
        <f>'Raw Data'!R22</f>
        <v>Very Confident</v>
      </c>
      <c r="G22" s="27" t="str">
        <f>'Raw Data'!S22</f>
        <v>Very Confident</v>
      </c>
      <c r="H22" s="27" t="str">
        <f>'Raw Data'!T22</f>
        <v>Very Confident</v>
      </c>
      <c r="I22" s="27" t="str">
        <f>'Raw Data'!U22</f>
        <v>Very Confident</v>
      </c>
      <c r="J22" s="27" t="str">
        <f>'Raw Data'!V22</f>
        <v>Very Confident</v>
      </c>
      <c r="K22" s="27" t="str">
        <f>'Raw Data'!W22</f>
        <v>Very Confident</v>
      </c>
      <c r="L22" s="27" t="str">
        <f>'Raw Data'!X22</f>
        <v>Need More Knowledge</v>
      </c>
      <c r="M22" s="27" t="str">
        <f>'Raw Data'!Y22</f>
        <v>Need More Knowledge</v>
      </c>
      <c r="N22" s="40">
        <f t="shared" si="0"/>
        <v>3.4545454545454546</v>
      </c>
      <c r="O22" s="27">
        <f t="shared" si="1"/>
        <v>2</v>
      </c>
      <c r="P22" s="41">
        <f t="shared" si="2"/>
        <v>0.18181818181818182</v>
      </c>
      <c r="Q22" s="42" t="str">
        <f t="shared" si="3"/>
        <v>Low Gap</v>
      </c>
    </row>
    <row r="23" spans="1:17" x14ac:dyDescent="0.35">
      <c r="A23" s="54" t="str">
        <f>'Raw Data'!A23</f>
        <v>Justina Anazia</v>
      </c>
      <c r="B23" s="55" t="str">
        <f>'Raw Data'!C23</f>
        <v>3–6 months</v>
      </c>
      <c r="C23" s="55" t="str">
        <f>'Raw Data'!O23</f>
        <v>Very Confident</v>
      </c>
      <c r="D23" s="55" t="str">
        <f>'Raw Data'!P23</f>
        <v>Very Confident</v>
      </c>
      <c r="E23" s="55" t="str">
        <f>'Raw Data'!Q23</f>
        <v>Very Confident</v>
      </c>
      <c r="F23" s="55" t="str">
        <f>'Raw Data'!R23</f>
        <v>Very Confident</v>
      </c>
      <c r="G23" s="55" t="str">
        <f>'Raw Data'!S23</f>
        <v>Very Confident</v>
      </c>
      <c r="H23" s="55" t="str">
        <f>'Raw Data'!T23</f>
        <v>Need More Knowledge</v>
      </c>
      <c r="I23" s="55" t="str">
        <f>'Raw Data'!U23</f>
        <v>Neutral</v>
      </c>
      <c r="J23" s="55" t="str">
        <f>'Raw Data'!V23</f>
        <v>Neutral</v>
      </c>
      <c r="K23" s="55" t="str">
        <f>'Raw Data'!W23</f>
        <v>Neutral</v>
      </c>
      <c r="L23" s="55" t="str">
        <f>'Raw Data'!X23</f>
        <v>Need More Knowledge</v>
      </c>
      <c r="M23" s="55" t="str">
        <f>'Raw Data'!Y23</f>
        <v>Need More Knowledge</v>
      </c>
      <c r="N23" s="56">
        <f t="shared" si="0"/>
        <v>2.6363636363636362</v>
      </c>
      <c r="O23" s="55">
        <f t="shared" si="1"/>
        <v>6</v>
      </c>
      <c r="P23" s="57">
        <f t="shared" si="2"/>
        <v>0.54545454545454541</v>
      </c>
      <c r="Q23" s="58" t="str">
        <f t="shared" si="3"/>
        <v>High Gap</v>
      </c>
    </row>
    <row r="24" spans="1:17" x14ac:dyDescent="0.35">
      <c r="A24" s="31" t="str">
        <f>'Raw Data'!A24</f>
        <v>Esihegbeme Ogedegbe</v>
      </c>
      <c r="B24" s="27" t="str">
        <f>'Raw Data'!C24</f>
        <v>3–6 months</v>
      </c>
      <c r="C24" s="27" t="str">
        <f>'Raw Data'!O24</f>
        <v>Very Confident</v>
      </c>
      <c r="D24" s="27" t="str">
        <f>'Raw Data'!P24</f>
        <v>Very Confident</v>
      </c>
      <c r="E24" s="27" t="str">
        <f>'Raw Data'!Q24</f>
        <v>Very Confident</v>
      </c>
      <c r="F24" s="27" t="str">
        <f>'Raw Data'!R24</f>
        <v>Very Confident</v>
      </c>
      <c r="G24" s="27" t="str">
        <f>'Raw Data'!S24</f>
        <v>Very Confident</v>
      </c>
      <c r="H24" s="27" t="str">
        <f>'Raw Data'!T24</f>
        <v>Very Confident</v>
      </c>
      <c r="I24" s="27" t="str">
        <f>'Raw Data'!U24</f>
        <v>Very Confident</v>
      </c>
      <c r="J24" s="27" t="str">
        <f>'Raw Data'!V24</f>
        <v>Very Confident</v>
      </c>
      <c r="K24" s="27" t="str">
        <f>'Raw Data'!W24</f>
        <v>Very Confident</v>
      </c>
      <c r="L24" s="27" t="str">
        <f>'Raw Data'!X24</f>
        <v>Neutral</v>
      </c>
      <c r="M24" s="27" t="str">
        <f>'Raw Data'!Y24</f>
        <v>Need More Knowledge</v>
      </c>
      <c r="N24" s="40">
        <f t="shared" si="0"/>
        <v>3.5454545454545454</v>
      </c>
      <c r="O24" s="27">
        <f t="shared" si="1"/>
        <v>2</v>
      </c>
      <c r="P24" s="41">
        <f t="shared" si="2"/>
        <v>0.18181818181818182</v>
      </c>
      <c r="Q24" s="42" t="str">
        <f t="shared" si="3"/>
        <v>Low Gap</v>
      </c>
    </row>
    <row r="25" spans="1:17" x14ac:dyDescent="0.35">
      <c r="A25" s="31" t="str">
        <f>'Raw Data'!A25</f>
        <v>Divine Samuel</v>
      </c>
      <c r="B25" s="27" t="str">
        <f>'Raw Data'!C25</f>
        <v>3–6 months</v>
      </c>
      <c r="C25" s="27" t="str">
        <f>'Raw Data'!O25</f>
        <v>Very Confident</v>
      </c>
      <c r="D25" s="27" t="str">
        <f>'Raw Data'!P25</f>
        <v>Very Confident</v>
      </c>
      <c r="E25" s="27" t="str">
        <f>'Raw Data'!Q25</f>
        <v>Very Confident</v>
      </c>
      <c r="F25" s="27" t="str">
        <f>'Raw Data'!R25</f>
        <v>Very Confident</v>
      </c>
      <c r="G25" s="27" t="str">
        <f>'Raw Data'!S25</f>
        <v>Very Confident</v>
      </c>
      <c r="H25" s="27" t="str">
        <f>'Raw Data'!T25</f>
        <v>Very Confident</v>
      </c>
      <c r="I25" s="27" t="str">
        <f>'Raw Data'!U25</f>
        <v>Confident</v>
      </c>
      <c r="J25" s="27" t="str">
        <f>'Raw Data'!V25</f>
        <v>Very Confident</v>
      </c>
      <c r="K25" s="27" t="str">
        <f>'Raw Data'!W25</f>
        <v>Very Confident</v>
      </c>
      <c r="L25" s="27" t="str">
        <f>'Raw Data'!X25</f>
        <v>Need More Knowledge</v>
      </c>
      <c r="M25" s="27" t="str">
        <f>'Raw Data'!Y25</f>
        <v>Need More Knowledge</v>
      </c>
      <c r="N25" s="40">
        <f t="shared" si="0"/>
        <v>3.3636363636363638</v>
      </c>
      <c r="O25" s="27">
        <f t="shared" si="1"/>
        <v>2</v>
      </c>
      <c r="P25" s="41">
        <f t="shared" si="2"/>
        <v>0.18181818181818182</v>
      </c>
      <c r="Q25" s="42" t="str">
        <f t="shared" si="3"/>
        <v>Low Gap</v>
      </c>
    </row>
    <row r="26" spans="1:17" x14ac:dyDescent="0.35">
      <c r="A26" s="31" t="str">
        <f>'Raw Data'!A26</f>
        <v>Abisola Babatunde</v>
      </c>
      <c r="B26" s="27" t="str">
        <f>'Raw Data'!C26</f>
        <v>3–6 months</v>
      </c>
      <c r="C26" s="27" t="str">
        <f>'Raw Data'!O26</f>
        <v>Very Confident</v>
      </c>
      <c r="D26" s="27" t="str">
        <f>'Raw Data'!P26</f>
        <v>Very Confident</v>
      </c>
      <c r="E26" s="27" t="str">
        <f>'Raw Data'!Q26</f>
        <v>Very Confident</v>
      </c>
      <c r="F26" s="27" t="str">
        <f>'Raw Data'!R26</f>
        <v>Very Confident</v>
      </c>
      <c r="G26" s="27" t="str">
        <f>'Raw Data'!S26</f>
        <v>Very Confident</v>
      </c>
      <c r="H26" s="27" t="str">
        <f>'Raw Data'!T26</f>
        <v>Confident</v>
      </c>
      <c r="I26" s="27" t="str">
        <f>'Raw Data'!U26</f>
        <v>Confident</v>
      </c>
      <c r="J26" s="27" t="str">
        <f>'Raw Data'!V26</f>
        <v>Very Confident</v>
      </c>
      <c r="K26" s="27" t="str">
        <f>'Raw Data'!W26</f>
        <v>Confident</v>
      </c>
      <c r="L26" s="27" t="str">
        <f>'Raw Data'!X26</f>
        <v>Need More Knowledge</v>
      </c>
      <c r="M26" s="27" t="str">
        <f>'Raw Data'!Y26</f>
        <v>Need More Knowledge</v>
      </c>
      <c r="N26" s="40">
        <f t="shared" si="0"/>
        <v>3.1818181818181817</v>
      </c>
      <c r="O26" s="27">
        <f t="shared" si="1"/>
        <v>2</v>
      </c>
      <c r="P26" s="41">
        <f t="shared" si="2"/>
        <v>0.18181818181818182</v>
      </c>
      <c r="Q26" s="42" t="str">
        <f t="shared" si="3"/>
        <v>Low Gap</v>
      </c>
    </row>
    <row r="27" spans="1:17" x14ac:dyDescent="0.35">
      <c r="A27" s="31" t="str">
        <f>'Raw Data'!A27</f>
        <v>Emmanuel Ekpete</v>
      </c>
      <c r="B27" s="27" t="str">
        <f>'Raw Data'!C27</f>
        <v>3–6 months</v>
      </c>
      <c r="C27" s="27" t="str">
        <f>'Raw Data'!O27</f>
        <v>Very Confident</v>
      </c>
      <c r="D27" s="27" t="str">
        <f>'Raw Data'!P27</f>
        <v>Very Confident</v>
      </c>
      <c r="E27" s="27" t="str">
        <f>'Raw Data'!Q27</f>
        <v>Very Confident</v>
      </c>
      <c r="F27" s="27" t="str">
        <f>'Raw Data'!R27</f>
        <v>Very Confident</v>
      </c>
      <c r="G27" s="27" t="str">
        <f>'Raw Data'!S27</f>
        <v>Very Confident</v>
      </c>
      <c r="H27" s="27" t="str">
        <f>'Raw Data'!T27</f>
        <v>Very Confident</v>
      </c>
      <c r="I27" s="27" t="str">
        <f>'Raw Data'!U27</f>
        <v>Very Confident</v>
      </c>
      <c r="J27" s="27" t="str">
        <f>'Raw Data'!V27</f>
        <v>Very Confident</v>
      </c>
      <c r="K27" s="27" t="str">
        <f>'Raw Data'!W27</f>
        <v>Very Confident</v>
      </c>
      <c r="L27" s="27" t="str">
        <f>'Raw Data'!X27</f>
        <v>Need More Knowledge</v>
      </c>
      <c r="M27" s="27" t="str">
        <f>'Raw Data'!Y27</f>
        <v>Need More Knowledge</v>
      </c>
      <c r="N27" s="40">
        <f t="shared" si="0"/>
        <v>3.4545454545454546</v>
      </c>
      <c r="O27" s="27">
        <f t="shared" si="1"/>
        <v>2</v>
      </c>
      <c r="P27" s="41">
        <f t="shared" si="2"/>
        <v>0.18181818181818182</v>
      </c>
      <c r="Q27" s="42" t="str">
        <f t="shared" si="3"/>
        <v>Low Gap</v>
      </c>
    </row>
    <row r="28" spans="1:17" x14ac:dyDescent="0.35">
      <c r="A28" s="31" t="str">
        <f>'Raw Data'!A28</f>
        <v>Blessing Acha</v>
      </c>
      <c r="B28" s="27" t="str">
        <f>'Raw Data'!C28</f>
        <v>6–12 months</v>
      </c>
      <c r="C28" s="27" t="str">
        <f>'Raw Data'!O28</f>
        <v>Very Confident</v>
      </c>
      <c r="D28" s="27" t="str">
        <f>'Raw Data'!P28</f>
        <v>Very Confident</v>
      </c>
      <c r="E28" s="27" t="str">
        <f>'Raw Data'!Q28</f>
        <v>Very Confident</v>
      </c>
      <c r="F28" s="27" t="str">
        <f>'Raw Data'!R28</f>
        <v>Very Confident</v>
      </c>
      <c r="G28" s="27" t="str">
        <f>'Raw Data'!S28</f>
        <v>Very Confident</v>
      </c>
      <c r="H28" s="27" t="str">
        <f>'Raw Data'!T28</f>
        <v>Very Confident</v>
      </c>
      <c r="I28" s="27" t="str">
        <f>'Raw Data'!U28</f>
        <v>Confident</v>
      </c>
      <c r="J28" s="27" t="str">
        <f>'Raw Data'!V28</f>
        <v>Confident</v>
      </c>
      <c r="K28" s="27" t="str">
        <f>'Raw Data'!W28</f>
        <v>Very Confident</v>
      </c>
      <c r="L28" s="27" t="str">
        <f>'Raw Data'!X28</f>
        <v>Neutral</v>
      </c>
      <c r="M28" s="27" t="str">
        <f>'Raw Data'!Y28</f>
        <v>Neutral</v>
      </c>
      <c r="N28" s="40">
        <f t="shared" si="0"/>
        <v>3.4545454545454546</v>
      </c>
      <c r="O28" s="27">
        <f t="shared" si="1"/>
        <v>2</v>
      </c>
      <c r="P28" s="41">
        <f t="shared" si="2"/>
        <v>0.18181818181818182</v>
      </c>
      <c r="Q28" s="42" t="str">
        <f t="shared" si="3"/>
        <v>Low Gap</v>
      </c>
    </row>
    <row r="29" spans="1:17" x14ac:dyDescent="0.35">
      <c r="A29" s="31" t="str">
        <f>'Raw Data'!A29</f>
        <v>Glory Ezeji</v>
      </c>
      <c r="B29" s="27" t="str">
        <f>'Raw Data'!C29</f>
        <v>6–12 months</v>
      </c>
      <c r="C29" s="27" t="str">
        <f>'Raw Data'!O29</f>
        <v>Very Confident</v>
      </c>
      <c r="D29" s="27" t="str">
        <f>'Raw Data'!P29</f>
        <v>Very Confident</v>
      </c>
      <c r="E29" s="27" t="str">
        <f>'Raw Data'!Q29</f>
        <v>Very Confident</v>
      </c>
      <c r="F29" s="27" t="str">
        <f>'Raw Data'!R29</f>
        <v>Very Confident</v>
      </c>
      <c r="G29" s="27" t="str">
        <f>'Raw Data'!S29</f>
        <v>Confident</v>
      </c>
      <c r="H29" s="27" t="str">
        <f>'Raw Data'!T29</f>
        <v>Very Confident</v>
      </c>
      <c r="I29" s="27" t="str">
        <f>'Raw Data'!U29</f>
        <v>Confident</v>
      </c>
      <c r="J29" s="27" t="str">
        <f>'Raw Data'!V29</f>
        <v>Confident</v>
      </c>
      <c r="K29" s="27" t="str">
        <f>'Raw Data'!W29</f>
        <v>Confident</v>
      </c>
      <c r="L29" s="27" t="str">
        <f>'Raw Data'!X29</f>
        <v>Neutral</v>
      </c>
      <c r="M29" s="27" t="str">
        <f>'Raw Data'!Y29</f>
        <v>Neutral</v>
      </c>
      <c r="N29" s="40">
        <f t="shared" si="0"/>
        <v>3.2727272727272729</v>
      </c>
      <c r="O29" s="27">
        <f t="shared" si="1"/>
        <v>2</v>
      </c>
      <c r="P29" s="41">
        <f t="shared" si="2"/>
        <v>0.18181818181818182</v>
      </c>
      <c r="Q29" s="42" t="str">
        <f t="shared" si="3"/>
        <v>Low Gap</v>
      </c>
    </row>
    <row r="30" spans="1:17" x14ac:dyDescent="0.35">
      <c r="A30" s="14" t="str">
        <f>'Raw Data'!A30</f>
        <v>Hamza Nanajuwairriya</v>
      </c>
      <c r="B30" s="43" t="str">
        <f>'Raw Data'!C30</f>
        <v>3–6 months</v>
      </c>
      <c r="C30" s="43" t="str">
        <f>'Raw Data'!O30</f>
        <v>Very Confident</v>
      </c>
      <c r="D30" s="43" t="str">
        <f>'Raw Data'!P30</f>
        <v>Very Confident</v>
      </c>
      <c r="E30" s="43" t="str">
        <f>'Raw Data'!Q30</f>
        <v>Very Confident</v>
      </c>
      <c r="F30" s="43" t="str">
        <f>'Raw Data'!R30</f>
        <v>Very Confident</v>
      </c>
      <c r="G30" s="43" t="str">
        <f>'Raw Data'!S30</f>
        <v>Very Confident</v>
      </c>
      <c r="H30" s="43" t="str">
        <f>'Raw Data'!T30</f>
        <v>Very Confident</v>
      </c>
      <c r="I30" s="43" t="str">
        <f>'Raw Data'!U30</f>
        <v>Very Confident</v>
      </c>
      <c r="J30" s="43" t="str">
        <f>'Raw Data'!V30</f>
        <v>Very Confident</v>
      </c>
      <c r="K30" s="43" t="str">
        <f>'Raw Data'!W30</f>
        <v>Very Confident</v>
      </c>
      <c r="L30" s="43" t="str">
        <f>'Raw Data'!X30</f>
        <v>Neutral</v>
      </c>
      <c r="M30" s="43" t="str">
        <f>'Raw Data'!Y30</f>
        <v>Neutral</v>
      </c>
      <c r="N30" s="44">
        <f t="shared" si="0"/>
        <v>3.6363636363636362</v>
      </c>
      <c r="O30" s="43">
        <f t="shared" si="1"/>
        <v>2</v>
      </c>
      <c r="P30" s="45">
        <f t="shared" si="2"/>
        <v>0.18181818181818182</v>
      </c>
      <c r="Q30" s="13" t="str">
        <f t="shared" si="3"/>
        <v>Low Gap</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8"/>
  <sheetViews>
    <sheetView workbookViewId="0">
      <pane ySplit="1" topLeftCell="A2" activePane="bottomLeft" state="frozen"/>
      <selection pane="bottomLeft" activeCell="J9" sqref="J9"/>
    </sheetView>
  </sheetViews>
  <sheetFormatPr defaultRowHeight="14.5" x14ac:dyDescent="0.35"/>
  <cols>
    <col min="1" max="1" width="23" bestFit="1" customWidth="1"/>
    <col min="2" max="2" width="25.1796875" customWidth="1"/>
    <col min="3" max="3" width="18" customWidth="1"/>
  </cols>
  <sheetData>
    <row r="1" spans="1:3" x14ac:dyDescent="0.35">
      <c r="A1" s="33" t="s">
        <v>348</v>
      </c>
      <c r="B1" s="34" t="s">
        <v>349</v>
      </c>
      <c r="C1" s="35" t="s">
        <v>350</v>
      </c>
    </row>
    <row r="2" spans="1:3" x14ac:dyDescent="0.35">
      <c r="A2" s="31" t="s">
        <v>351</v>
      </c>
      <c r="B2" s="27">
        <f>COUNTIF('Raw Data'!$L$2:$L$30,"*Personal Notes*")</f>
        <v>21</v>
      </c>
      <c r="C2" s="46">
        <f>B2/COUNTA('Raw Data'!$L$2:$L$30)</f>
        <v>0.72413793103448276</v>
      </c>
    </row>
    <row r="3" spans="1:3" x14ac:dyDescent="0.35">
      <c r="A3" s="31" t="s">
        <v>352</v>
      </c>
      <c r="B3" s="27">
        <f>COUNTIF('Raw Data'!$L$2:$L$30,"*User Guide*")</f>
        <v>19</v>
      </c>
      <c r="C3" s="46">
        <f>B3/COUNTA('Raw Data'!$L$2:$L$30)</f>
        <v>0.65517241379310343</v>
      </c>
    </row>
    <row r="4" spans="1:3" x14ac:dyDescent="0.35">
      <c r="A4" s="31" t="s">
        <v>353</v>
      </c>
      <c r="B4" s="27">
        <f>COUNTIF('Raw Data'!$L$2:$L$30,"*Existing Knowledge Base*")</f>
        <v>21</v>
      </c>
      <c r="C4" s="46">
        <f>B4/COUNTA('Raw Data'!$L$2:$L$30)</f>
        <v>0.72413793103448276</v>
      </c>
    </row>
    <row r="5" spans="1:3" x14ac:dyDescent="0.35">
      <c r="A5" s="31" t="s">
        <v>354</v>
      </c>
      <c r="B5" s="27">
        <f>COUNTIF('Raw Data'!$L$2:$L$30,"*Supervisor*")</f>
        <v>24</v>
      </c>
      <c r="C5" s="46">
        <f>B5/COUNTA('Raw Data'!$L$2:$L$30)</f>
        <v>0.82758620689655171</v>
      </c>
    </row>
    <row r="6" spans="1:3" x14ac:dyDescent="0.35">
      <c r="A6" s="31" t="s">
        <v>355</v>
      </c>
      <c r="B6" s="27">
        <f>COUNTIF('Raw Data'!$L$2:$L$30,"*Escalation - CL*")</f>
        <v>13</v>
      </c>
      <c r="C6" s="46">
        <f>B6/COUNTA('Raw Data'!$L$2:$L$30)</f>
        <v>0.44827586206896552</v>
      </c>
    </row>
    <row r="7" spans="1:3" x14ac:dyDescent="0.35">
      <c r="A7" s="31" t="s">
        <v>356</v>
      </c>
      <c r="B7" s="27">
        <f>COUNTIF('Raw Data'!$L$2:$L$30,"*Previous Tickets*")</f>
        <v>11</v>
      </c>
      <c r="C7" s="46">
        <f>B7/COUNTA('Raw Data'!$L$2:$L$30)</f>
        <v>0.37931034482758619</v>
      </c>
    </row>
    <row r="8" spans="1:3" x14ac:dyDescent="0.35">
      <c r="A8" s="14" t="s">
        <v>357</v>
      </c>
      <c r="B8" s="43">
        <f>COUNTIF('Raw Data'!$L$2:$L$30,"*Research*")</f>
        <v>1</v>
      </c>
      <c r="C8" s="47">
        <f>B8/COUNTA('Raw Data'!$L$2:$L$30)</f>
        <v>3.4482758620689655E-2</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7"/>
  <sheetViews>
    <sheetView workbookViewId="0">
      <selection activeCell="A7" sqref="A7:F7"/>
    </sheetView>
  </sheetViews>
  <sheetFormatPr defaultColWidth="117.54296875" defaultRowHeight="14.5" x14ac:dyDescent="0.35"/>
  <cols>
    <col min="1" max="1" width="50.26953125" style="2" customWidth="1"/>
    <col min="2" max="2" width="52.453125" style="2" customWidth="1"/>
    <col min="3" max="16384" width="117.54296875" style="2"/>
  </cols>
  <sheetData>
    <row r="1" spans="1:6" ht="16" x14ac:dyDescent="0.5">
      <c r="A1" s="70" t="s">
        <v>358</v>
      </c>
      <c r="B1" s="71"/>
      <c r="C1" s="71"/>
      <c r="D1" s="71"/>
      <c r="E1" s="71"/>
      <c r="F1" s="71"/>
    </row>
    <row r="3" spans="1:6" x14ac:dyDescent="0.35">
      <c r="A3" s="72" t="s">
        <v>359</v>
      </c>
      <c r="B3" s="71"/>
      <c r="C3" s="71"/>
      <c r="D3" s="71"/>
      <c r="E3" s="71"/>
      <c r="F3" s="71"/>
    </row>
    <row r="4" spans="1:6" x14ac:dyDescent="0.35">
      <c r="A4" s="72" t="s">
        <v>360</v>
      </c>
      <c r="B4" s="71"/>
      <c r="C4" s="71"/>
      <c r="D4" s="71"/>
      <c r="E4" s="71"/>
      <c r="F4" s="71"/>
    </row>
    <row r="5" spans="1:6" x14ac:dyDescent="0.35">
      <c r="A5" s="72" t="s">
        <v>361</v>
      </c>
      <c r="B5" s="71"/>
      <c r="C5" s="71"/>
      <c r="D5" s="71"/>
      <c r="E5" s="71"/>
      <c r="F5" s="71"/>
    </row>
    <row r="6" spans="1:6" x14ac:dyDescent="0.35">
      <c r="A6" s="72" t="s">
        <v>362</v>
      </c>
      <c r="B6" s="71"/>
      <c r="C6" s="71"/>
      <c r="D6" s="71"/>
      <c r="E6" s="71"/>
      <c r="F6" s="71"/>
    </row>
    <row r="7" spans="1:6" x14ac:dyDescent="0.35">
      <c r="A7" s="72" t="s">
        <v>363</v>
      </c>
      <c r="B7" s="71"/>
      <c r="C7" s="71"/>
      <c r="D7" s="71"/>
      <c r="E7" s="71"/>
      <c r="F7" s="71"/>
    </row>
    <row r="8" spans="1:6" x14ac:dyDescent="0.35">
      <c r="A8" s="72" t="s">
        <v>364</v>
      </c>
      <c r="B8" s="71"/>
      <c r="C8" s="71"/>
      <c r="D8" s="71"/>
      <c r="E8" s="71"/>
      <c r="F8" s="71"/>
    </row>
    <row r="9" spans="1:6" x14ac:dyDescent="0.35">
      <c r="A9" s="73" t="s">
        <v>365</v>
      </c>
      <c r="B9" s="74"/>
      <c r="C9" s="74"/>
      <c r="D9" s="74"/>
      <c r="E9" s="74"/>
      <c r="F9" s="74"/>
    </row>
    <row r="10" spans="1:6" x14ac:dyDescent="0.35">
      <c r="A10" s="3"/>
      <c r="B10"/>
      <c r="C10"/>
      <c r="D10"/>
      <c r="E10"/>
      <c r="F10"/>
    </row>
    <row r="11" spans="1:6" ht="15.5" x14ac:dyDescent="0.35">
      <c r="A11" s="68" t="s">
        <v>366</v>
      </c>
      <c r="B11" s="69"/>
      <c r="C11" s="3"/>
      <c r="D11" s="3"/>
      <c r="E11" s="3"/>
      <c r="F11" s="3"/>
    </row>
    <row r="12" spans="1:6" x14ac:dyDescent="0.35">
      <c r="A12" s="48" t="s">
        <v>130</v>
      </c>
      <c r="B12" s="48">
        <v>4</v>
      </c>
    </row>
    <row r="13" spans="1:6" x14ac:dyDescent="0.35">
      <c r="A13" s="48" t="s">
        <v>142</v>
      </c>
      <c r="B13" s="48">
        <v>3</v>
      </c>
    </row>
    <row r="14" spans="1:6" x14ac:dyDescent="0.35">
      <c r="A14" s="48" t="s">
        <v>131</v>
      </c>
      <c r="B14" s="48">
        <v>2</v>
      </c>
    </row>
    <row r="15" spans="1:6" x14ac:dyDescent="0.35">
      <c r="A15" s="48" t="s">
        <v>149</v>
      </c>
      <c r="B15" s="48">
        <v>1</v>
      </c>
    </row>
    <row r="16" spans="1:6" x14ac:dyDescent="0.35">
      <c r="A16" s="48" t="s">
        <v>159</v>
      </c>
      <c r="B16" s="48">
        <v>1</v>
      </c>
    </row>
    <row r="17" spans="1:2" ht="29" x14ac:dyDescent="0.35">
      <c r="A17" s="48" t="s">
        <v>342</v>
      </c>
      <c r="B17" s="48" t="s">
        <v>367</v>
      </c>
    </row>
  </sheetData>
  <mergeCells count="9">
    <mergeCell ref="A11:B11"/>
    <mergeCell ref="A1:F1"/>
    <mergeCell ref="A5:F5"/>
    <mergeCell ref="A9:F9"/>
    <mergeCell ref="A8:F8"/>
    <mergeCell ref="A6:F6"/>
    <mergeCell ref="A4:F4"/>
    <mergeCell ref="A3:F3"/>
    <mergeCell ref="A7:F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Executive Summary</vt:lpstr>
      <vt:lpstr>Supervisors Insights</vt:lpstr>
      <vt:lpstr>Qualitative Themes</vt:lpstr>
      <vt:lpstr>Raw Data</vt:lpstr>
      <vt:lpstr>Module Analysis</vt:lpstr>
      <vt:lpstr>Individual Analysis</vt:lpstr>
      <vt:lpstr>Resource Analysis</vt:lpstr>
      <vt:lpstr>How to Use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Idachaba Grace</cp:lastModifiedBy>
  <cp:revision/>
  <dcterms:created xsi:type="dcterms:W3CDTF">2026-08-10T10:22:26Z</dcterms:created>
  <dcterms:modified xsi:type="dcterms:W3CDTF">2026-10-08T14:52:08Z</dcterms:modified>
  <cp:category/>
  <cp:contentStatus/>
</cp:coreProperties>
</file>